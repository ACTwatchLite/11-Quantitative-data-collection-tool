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psiorg.sharepoint.com/sites/ACTWatchLite/Shared Documents/2. Technical/0. Toolkit/ACTwatch Lite Toolkit v4/11 Quantitative data collection tool/"/>
    </mc:Choice>
  </mc:AlternateContent>
  <xr:revisionPtr revIDLastSave="303" documentId="6_{D236A341-BA1B-FE42-824D-1830653D3F53}" xr6:coauthVersionLast="47" xr6:coauthVersionMax="47" xr10:uidLastSave="{85A616FD-A8DA-4BE1-A91F-4130A6EF91A0}"/>
  <bookViews>
    <workbookView minimized="1" xWindow="6660" yWindow="6405" windowWidth="14400" windowHeight="7455" activeTab="2" xr2:uid="{00000000-000D-0000-FFFF-FFFF00000000}"/>
  </bookViews>
  <sheets>
    <sheet name="README" sheetId="5" r:id="rId1"/>
    <sheet name="survey" sheetId="2" r:id="rId2"/>
    <sheet name="Sheet1" sheetId="6" r:id="rId3"/>
    <sheet name="choices" sheetId="3" r:id="rId4"/>
    <sheet name="settings" sheetId="4" r:id="rId5"/>
  </sheets>
  <definedNames>
    <definedName name="__123Graph_A">#REF!</definedName>
    <definedName name="__123Graph_AGRAPH1">#REF!</definedName>
    <definedName name="__123Graph_AGRAPH2">#REF!</definedName>
    <definedName name="__123Graph_AGRAPH3">#REF!</definedName>
    <definedName name="__123Graph_AGRAPH4">#REF!</definedName>
    <definedName name="__123Graph_AGRAPH5">#REF!</definedName>
    <definedName name="__123Graph_AGRAPH6">#REF!</definedName>
    <definedName name="__123Graph_B">#REF!</definedName>
    <definedName name="__123Graph_BGRAPH1">#REF!</definedName>
    <definedName name="__123Graph_BGRAPH2">#REF!</definedName>
    <definedName name="__123Graph_BGRAPH3">#REF!</definedName>
    <definedName name="__123Graph_BGRAPH4">#REF!</definedName>
    <definedName name="__123Graph_BGRAPH5">#REF!</definedName>
    <definedName name="__123Graph_BGRAPH6">#REF!</definedName>
    <definedName name="__123Graph_C">#REF!</definedName>
    <definedName name="__123Graph_CGRAPH1">#REF!</definedName>
    <definedName name="__123Graph_CGRAPH2">#REF!</definedName>
    <definedName name="__123Graph_CGRAPH3">#REF!</definedName>
    <definedName name="__123Graph_CGRAPH6">#REF!</definedName>
    <definedName name="__123Graph_D">#REF!</definedName>
    <definedName name="__123Graph_DGRAPH1">#REF!</definedName>
    <definedName name="__123Graph_DGRAPH3">#REF!</definedName>
    <definedName name="__123Graph_DGRAPH6">#REF!</definedName>
    <definedName name="__123Graph_LBL_A">#REF!</definedName>
    <definedName name="__123Graph_LBL_AGRAPH1">#REF!</definedName>
    <definedName name="__123Graph_LBL_AGRAPH2">#REF!</definedName>
    <definedName name="__123Graph_LBL_B">#REF!</definedName>
    <definedName name="__123Graph_LBL_BGRAPH2">#REF!</definedName>
    <definedName name="__123Graph_LBL_D">#REF!</definedName>
    <definedName name="__123Graph_LBL_DGRAPH1">#REF!</definedName>
    <definedName name="__123Graph_X">#REF!</definedName>
    <definedName name="__123Graph_XGRAPH1">#REF!</definedName>
    <definedName name="__123Graph_XGRAPH2">#REF!</definedName>
    <definedName name="__123Graph_XGRAPH3">#REF!</definedName>
    <definedName name="__123Graph_XGRAPH4">#REF!</definedName>
    <definedName name="__123Graph_XGRAPH5">#REF!</definedName>
    <definedName name="__123Graph_XGRAPH6">#REF!</definedName>
    <definedName name="__aan1" localSheetId="0">#REF!</definedName>
    <definedName name="__aan1">#REF!</definedName>
    <definedName name="__aca1">0</definedName>
    <definedName name="__acb1" localSheetId="0">SUMIF(README!__Cum31,206,README!__sfd1)</definedName>
    <definedName name="__acb1">SUMIF(__Cum31,206,__sfd1)</definedName>
    <definedName name="__adn1" localSheetId="0">#REF!</definedName>
    <definedName name="__adn1">#REF!</definedName>
    <definedName name="__aea1" localSheetId="0">SUMIF(README!__cum41,2811,README!__sfc1)+SUMIF(README!__cum51,29191,README!__sfc1)</definedName>
    <definedName name="__aea1">SUMIF(__cum41,2811,__sfc1)+SUMIF(__cum51,29191,__sfc1)</definedName>
    <definedName name="__aeb1" localSheetId="0">SUMIF(README!__Cum31,211,README!__sfd1)+SUMIF(README!__cum41,2191,README!__sfd1)</definedName>
    <definedName name="__aeb1">SUMIF(__Cum31,211,__sfd1)+SUMIF(__cum41,2191,__sfd1)</definedName>
    <definedName name="__afa1" localSheetId="0">SUMIF(README!__cum41,2812,README!__sfc1)+SUMIF(README!__cum41,2913,README!__sfc1)+SUMIF(README!__cum41,2814,README!__sfc1)+SUMIF(README!__cum41,2912,README!__sfc1)+SUMIF(README!__cum41,2813,README!__sfc1)+SUMIF(README!__cum41,2914,README!__sfc1)+SUMIF(README!__cum51,29192,README!__sfc1)</definedName>
    <definedName name="__afa1">SUMIF(__cum41,2812,__sfc1)+SUMIF(__cum41,2913,__sfc1)+SUMIF(__cum41,2814,__sfc1)+SUMIF(__cum41,2912,__sfc1)+SUMIF(__cum41,2813,__sfc1)+SUMIF(__cum41,2914,__sfc1)+SUMIF(__cum51,29192,__sfc1)</definedName>
    <definedName name="__afb1" localSheetId="0">SUMIF(README!__Cum31,212,README!__sfd1)+SUMIF(README!__Cum31,213,README!__sfd1)+SUMIF(README!__Cum31,214,README!__sfd1)+SUMIF(README!__cum41,2193,README!__sfd1)</definedName>
    <definedName name="__afb1">SUMIF(__Cum31,212,__sfd1)+SUMIF(__Cum31,213,__sfd1)+SUMIF(__Cum31,214,__sfd1)+SUMIF(__cum41,2193,__sfd1)</definedName>
    <definedName name="__aga1" localSheetId="0">SUMIF(README!__cum41,2815,README!__sfc1)+SUMIF(README!__cum41,2816,README!__sfc1)+SUMIF(README!__cum41,2915,README!__sfc1)+SUMIF(README!__cum41,2916,README!__sfc1)</definedName>
    <definedName name="__aga1">SUMIF(__cum41,2815,__sfc1)+SUMIF(__cum41,2816,__sfc1)+SUMIF(__cum41,2915,__sfc1)+SUMIF(__cum41,2916,__sfc1)</definedName>
    <definedName name="__agb1" localSheetId="0">SUMIF(README!__Cum31,215,README!__sfd1)+SUMIF(README!__Cum31,216,README!__sfd1)</definedName>
    <definedName name="__agb1">SUMIF(__Cum31,215,__sfd1)+SUMIF(__Cum31,216,__sfd1)</definedName>
    <definedName name="__aha1" localSheetId="0">SUMIF(README!__cum41,2817,README!__sfc1)+SUMIF(README!__cum41,2818,README!__sfc1)+SUMIF(README!__cum41,2917,README!__sfc1)+SUMIF(README!__cum41,2918,README!__sfc1)+SUMIF(README!__cum51,29193,README!__sfc1)</definedName>
    <definedName name="__aha1">SUMIF(__cum41,2817,__sfc1)+SUMIF(__cum41,2818,__sfc1)+SUMIF(__cum41,2917,__sfc1)+SUMIF(__cum41,2918,__sfc1)+SUMIF(__cum51,29193,__sfc1)</definedName>
    <definedName name="__ahb1" localSheetId="0">SUMIF(README!__Cum31,217,README!__sfd1)+SUMIF(README!__Cum31,218,README!__sfd1)+SUMIF(README!__cum41,2198,README!__sfd1)</definedName>
    <definedName name="__ahb1">SUMIF(__Cum31,217,__sfd1)+SUMIF(__Cum31,218,__sfd1)+SUMIF(__cum41,2198,__sfd1)</definedName>
    <definedName name="__ain1" localSheetId="0">#REF!</definedName>
    <definedName name="__ain1">#REF!</definedName>
    <definedName name="__aja1" localSheetId="0">SUMIF(README!__Cum31,282,README!__sfc1)+SUMIF(README!__Cum31,292,README!__sfc1)</definedName>
    <definedName name="__aja1">SUMIF(__Cum31,282,__sfc1)+SUMIF(__Cum31,292,__sfc1)</definedName>
    <definedName name="__ajb1" localSheetId="0">SUMIF(README!__cum21,22,README!__sfd1)</definedName>
    <definedName name="__ajb1">SUMIF(__cum21,22,__sfd1)</definedName>
    <definedName name="__aka1" localSheetId="0">SUMIF(README!__cum41,2831,README!__sfc1)+SUMIF(README!__cum41,2832,README!__sfc1)+SUMIF(README!__cum41,2833,README!__sfc1)+SUMIF(README!__cum41,2837,README!__sfc1)+SUMIF(README!__cum41,2931,README!__sfc1)+SUMIF(README!__cum41,2932,README!__sfc1)+SUMIF(README!__cum41,2933,README!__sfc1)+SUMIF(README!__cum41,2937,README!__sfc1)+SUMIF(README!__cum51,29391,README!__sfc1)</definedName>
    <definedName name="__aka1">SUMIF(__cum41,2831,__sfc1)+SUMIF(__cum41,2832,__sfc1)+SUMIF(__cum41,2833,__sfc1)+SUMIF(__cum41,2837,__sfc1)+SUMIF(__cum41,2931,__sfc1)+SUMIF(__cum41,2932,__sfc1)+SUMIF(__cum41,2933,__sfc1)+SUMIF(__cum41,2937,__sfc1)+SUMIF(__cum51,29391,__sfc1)</definedName>
    <definedName name="__akb1" localSheetId="0">SUMIF(README!__Cum31,231,README!__sfd1)+SUMIF(README!__Cum31,232,README!__sfd1)+SUMIF(README!__Cum31,233,README!__sfd1)+SUMIF(README!__Cum31,237,README!__sfd1)+SUMIF(README!__cum41,2391,README!__sfd1)</definedName>
    <definedName name="__akb1">SUMIF(__Cum31,231,__sfd1)+SUMIF(__Cum31,232,__sfd1)+SUMIF(__Cum31,233,__sfd1)+SUMIF(__Cum31,237,__sfd1)+SUMIF(__cum41,2391,__sfd1)</definedName>
    <definedName name="__aqn1" localSheetId="0">#REF!</definedName>
    <definedName name="__aqn1">#REF!</definedName>
    <definedName name="__axa1">0</definedName>
    <definedName name="__axb1" localSheetId="0">SUMIF(README!__Cum31,202,README!__sfd1)</definedName>
    <definedName name="__axb1">SUMIF(__Cum31,202,__sfd1)</definedName>
    <definedName name="__AYA1">0</definedName>
    <definedName name="__AYB1" localSheetId="0">SUMIF(README!__Cum31,202,README!__sfd1)</definedName>
    <definedName name="__AYB1">SUMIF(__Cum31,202,__sfd1)</definedName>
    <definedName name="__azn1" localSheetId="0">#REF!</definedName>
    <definedName name="__azn1">#REF!</definedName>
    <definedName name="__bcn1" localSheetId="0">#REF!</definedName>
    <definedName name="__bcn1">#REF!</definedName>
    <definedName name="__bdn1" localSheetId="0">#REF!</definedName>
    <definedName name="__bdn1">#REF!</definedName>
    <definedName name="__ben1" localSheetId="0">#REF!</definedName>
    <definedName name="__ben1">#REF!</definedName>
    <definedName name="__bfe1" localSheetId="0">#REF!</definedName>
    <definedName name="__bfe1">#REF!</definedName>
    <definedName name="__bfe2" localSheetId="0">#REF!</definedName>
    <definedName name="__bfe2">#REF!</definedName>
    <definedName name="__bfn1" localSheetId="0">#REF!</definedName>
    <definedName name="__bfn1">#REF!</definedName>
    <definedName name="__bhn1" localSheetId="0">#REF!</definedName>
    <definedName name="__bhn1">#REF!</definedName>
    <definedName name="__bin1" localSheetId="0">#REF!</definedName>
    <definedName name="__bin1">#REF!</definedName>
    <definedName name="__bjn1" localSheetId="0">#REF!</definedName>
    <definedName name="__bjn1">#REF!</definedName>
    <definedName name="__bkn1" localSheetId="0">#REF!</definedName>
    <definedName name="__bkn1">#REF!</definedName>
    <definedName name="__btn1" localSheetId="0">#REF!</definedName>
    <definedName name="__btn1">#REF!</definedName>
    <definedName name="__bun1" localSheetId="0">#REF!</definedName>
    <definedName name="__bun1">#REF!</definedName>
    <definedName name="__bzn1" localSheetId="0">#REF!</definedName>
    <definedName name="__bzn1">#REF!</definedName>
    <definedName name="__Chart_of_accounts_">#REF!</definedName>
    <definedName name="__Chart_of_accounts_account">#REF!</definedName>
    <definedName name="__Chart_of_accounts_account_grp">#REF!</definedName>
    <definedName name="__Chart_of_accounts_account_rule">#REF!</definedName>
    <definedName name="__Chart_of_accounts_account_type">#REF!</definedName>
    <definedName name="__Chart_of_accounts_client">#REF!</definedName>
    <definedName name="__Chart_of_accounts_description">#REF!</definedName>
    <definedName name="__Chart_of_accounts_head_account">#REF!</definedName>
    <definedName name="__Chart_of_accounts_period_from">#REF!</definedName>
    <definedName name="__Chart_of_accounts_period_to">#REF!</definedName>
    <definedName name="__Chart_of_accounts_status">#REF!</definedName>
    <definedName name="__Chart_of_accounts_tab">#REF!</definedName>
    <definedName name="__Chart_of_accounts_xaccount_grp">#REF!</definedName>
    <definedName name="__cum1">#REF!</definedName>
    <definedName name="__cum2">#REF!</definedName>
    <definedName name="__cum21" localSheetId="0">#REF!</definedName>
    <definedName name="__cum21">#REF!</definedName>
    <definedName name="__cum3">#REF!</definedName>
    <definedName name="__Cum31" localSheetId="0">#REF!</definedName>
    <definedName name="__Cum31">#REF!</definedName>
    <definedName name="__cum4">#REF!</definedName>
    <definedName name="__cum41" localSheetId="0">#REF!</definedName>
    <definedName name="__cum41">#REF!</definedName>
    <definedName name="__cum5">#REF!</definedName>
    <definedName name="__cum51" localSheetId="0">#REF!</definedName>
    <definedName name="__cum51">#REF!</definedName>
    <definedName name="__cum6">#REF!</definedName>
    <definedName name="__cum7">#REF!</definedName>
    <definedName name="__cum8">#REF!</definedName>
    <definedName name="__din1" localSheetId="0">#REF!</definedName>
    <definedName name="__din1">#REF!</definedName>
    <definedName name="__djn1" localSheetId="0">#REF!</definedName>
    <definedName name="__djn1">#REF!</definedName>
    <definedName name="__dkn1" localSheetId="0">#REF!</definedName>
    <definedName name="__dkn1">#REF!</definedName>
    <definedName name="__dln1" localSheetId="0">#REF!</definedName>
    <definedName name="__dln1">#REF!</definedName>
    <definedName name="__dmn1" localSheetId="0">#REF!</definedName>
    <definedName name="__dmn1">#REF!</definedName>
    <definedName name="__dpn1" localSheetId="0">#REF!</definedName>
    <definedName name="__dpn1">#REF!</definedName>
    <definedName name="__dtn1" localSheetId="0">#REF!</definedName>
    <definedName name="__dtn1">#REF!</definedName>
    <definedName name="__dun1" localSheetId="0">#REF!</definedName>
    <definedName name="__dun1">#REF!</definedName>
    <definedName name="__dzn1" localSheetId="0">#REF!</definedName>
    <definedName name="__dzn1">#REF!</definedName>
    <definedName name="__FFN1" localSheetId="0">#REF!</definedName>
    <definedName name="__FFN1">#REF!</definedName>
    <definedName name="__FGN1" localSheetId="0">#REF!</definedName>
    <definedName name="__FGN1">#REF!</definedName>
    <definedName name="__fkn1" localSheetId="0">#REF!</definedName>
    <definedName name="__fkn1">#REF!</definedName>
    <definedName name="__fsn1" localSheetId="0">#REF!</definedName>
    <definedName name="__fsn1">#REF!</definedName>
    <definedName name="__ftn1" localSheetId="0">#REF!</definedName>
    <definedName name="__ftn1">#REF!</definedName>
    <definedName name="__fwn1" localSheetId="0">#REF!</definedName>
    <definedName name="__fwn1">#REF!</definedName>
    <definedName name="__mc1" localSheetId="0">#REF!</definedName>
    <definedName name="__mc1">#REF!</definedName>
    <definedName name="__md1" localSheetId="0">#REF!</definedName>
    <definedName name="__md1">#REF!</definedName>
    <definedName name="__parameters_">#REF!</definedName>
    <definedName name="__parameters_client">#REF!</definedName>
    <definedName name="__parameters_Company">#REF!</definedName>
    <definedName name="__parameters_language">#REF!</definedName>
    <definedName name="__parameters_Status">#REF!</definedName>
    <definedName name="__parameters_template">#REF!</definedName>
    <definedName name="__parameters_user_id">#REF!</definedName>
    <definedName name="__ran1" localSheetId="0">#REF!</definedName>
    <definedName name="__ran1">#REF!</definedName>
    <definedName name="__rbn1" localSheetId="0">#REF!</definedName>
    <definedName name="__rbn1">#REF!</definedName>
    <definedName name="__rcn1" localSheetId="0">#REF!</definedName>
    <definedName name="__rcn1">#REF!</definedName>
    <definedName name="__rdn1" localSheetId="0">#REF!</definedName>
    <definedName name="__rdn1">#REF!</definedName>
    <definedName name="__ren1" localSheetId="0">#REF!</definedName>
    <definedName name="__ren1">#REF!</definedName>
    <definedName name="__rhn1" localSheetId="0">#REF!</definedName>
    <definedName name="__rhn1">#REF!</definedName>
    <definedName name="__rin1" localSheetId="0">#REF!</definedName>
    <definedName name="__rin1">#REF!</definedName>
    <definedName name="__rjn1" localSheetId="0">#REF!</definedName>
    <definedName name="__rjn1">#REF!</definedName>
    <definedName name="__rkn1" localSheetId="0">#REF!</definedName>
    <definedName name="__rkn1">#REF!</definedName>
    <definedName name="__rln1" localSheetId="0">#REF!</definedName>
    <definedName name="__rln1">#REF!</definedName>
    <definedName name="__rpn1" localSheetId="0">#REF!</definedName>
    <definedName name="__rpn1">#REF!</definedName>
    <definedName name="__rwn1" localSheetId="0">#REF!</definedName>
    <definedName name="__rwn1">#REF!</definedName>
    <definedName name="__san1" localSheetId="0">#REF!</definedName>
    <definedName name="__san1">#REF!</definedName>
    <definedName name="__scn1" localSheetId="0">#REF!</definedName>
    <definedName name="__scn1">#REF!</definedName>
    <definedName name="__sfc1" localSheetId="0">#REF!</definedName>
    <definedName name="__sfc1">#REF!</definedName>
    <definedName name="__sfd1" localSheetId="0">#REF!</definedName>
    <definedName name="__sfd1">#REF!</definedName>
    <definedName name="__sfn1" localSheetId="0">#REF!</definedName>
    <definedName name="__sfn1">#REF!</definedName>
    <definedName name="__shn1" localSheetId="0">#REF!</definedName>
    <definedName name="__shn1">#REF!</definedName>
    <definedName name="__sic1" localSheetId="0">#REF!</definedName>
    <definedName name="__sic1">#REF!</definedName>
    <definedName name="__sid1" localSheetId="0">#REF!</definedName>
    <definedName name="__sid1">#REF!</definedName>
    <definedName name="__son1" localSheetId="0">#REF!</definedName>
    <definedName name="__son1">#REF!</definedName>
    <definedName name="__sqn1" localSheetId="0">#REF!</definedName>
    <definedName name="__sqn1">#REF!</definedName>
    <definedName name="__srn1" localSheetId="0">#REF!</definedName>
    <definedName name="__srn1">#REF!</definedName>
    <definedName name="__ssn1" localSheetId="0">#REF!</definedName>
    <definedName name="__ssn1">#REF!</definedName>
    <definedName name="__stn1" localSheetId="0">#REF!</definedName>
    <definedName name="__stn1">#REF!</definedName>
    <definedName name="__tan1" localSheetId="0">#REF!</definedName>
    <definedName name="__tan1">#REF!</definedName>
    <definedName name="__tbn1" localSheetId="0">#REF!</definedName>
    <definedName name="__tbn1">#REF!</definedName>
    <definedName name="__tcn1" localSheetId="0">#REF!</definedName>
    <definedName name="__tcn1">#REF!</definedName>
    <definedName name="__tdn1" localSheetId="0">#REF!</definedName>
    <definedName name="__tdn1">#REF!</definedName>
    <definedName name="__ten1" localSheetId="0">#REF!</definedName>
    <definedName name="__ten1">#REF!</definedName>
    <definedName name="__tfn1" localSheetId="0">#REF!</definedName>
    <definedName name="__tfn1">#REF!</definedName>
    <definedName name="__tgn1" localSheetId="0">#REF!</definedName>
    <definedName name="__tgn1">#REF!</definedName>
    <definedName name="__thn1" localSheetId="0">#REF!</definedName>
    <definedName name="__thn1">#REF!</definedName>
    <definedName name="__tkn1" localSheetId="0">#REF!</definedName>
    <definedName name="__tkn1">#REF!</definedName>
    <definedName name="__tln1" localSheetId="0">#REF!</definedName>
    <definedName name="__tln1">#REF!</definedName>
    <definedName name="__tnn1" localSheetId="0">#REF!</definedName>
    <definedName name="__tnn1">#REF!</definedName>
    <definedName name="__tqn1" localSheetId="0">#REF!</definedName>
    <definedName name="__tqn1">#REF!</definedName>
    <definedName name="__ttn1" localSheetId="0">#REF!</definedName>
    <definedName name="__ttn1">#REF!</definedName>
    <definedName name="__twn1" localSheetId="0">#REF!</definedName>
    <definedName name="__twn1">#REF!</definedName>
    <definedName name="__uan1" localSheetId="0">#REF!</definedName>
    <definedName name="__uan1">#REF!</definedName>
    <definedName name="__ucn1" localSheetId="0">#REF!</definedName>
    <definedName name="__ucn1">#REF!</definedName>
    <definedName name="__uen1" localSheetId="0">#REF!</definedName>
    <definedName name="__uen1">#REF!</definedName>
    <definedName name="__ufn1" localSheetId="0">#REF!</definedName>
    <definedName name="__ufn1">#REF!</definedName>
    <definedName name="__uhn1" localSheetId="0">#REF!</definedName>
    <definedName name="__uhn1">#REF!</definedName>
    <definedName name="__uln1" localSheetId="0">#REF!</definedName>
    <definedName name="__uln1">#REF!</definedName>
    <definedName name="__unn1" localSheetId="0">#REF!</definedName>
    <definedName name="__unn1">#REF!</definedName>
    <definedName name="__uon1" localSheetId="0">#REF!</definedName>
    <definedName name="__uon1">#REF!</definedName>
    <definedName name="__utn1" localSheetId="0">#REF!</definedName>
    <definedName name="__utn1">#REF!</definedName>
    <definedName name="_1">#REF!</definedName>
    <definedName name="_2008" localSheetId="0">#REF!</definedName>
    <definedName name="_2008">#REF!</definedName>
    <definedName name="_8_1">#REF!</definedName>
    <definedName name="_aan1" localSheetId="0">#REF!</definedName>
    <definedName name="_aan1">#REF!</definedName>
    <definedName name="_aca1">0</definedName>
    <definedName name="_acb1" localSheetId="0">SUMIF(README!_Cum31,206,README!_sfd1)</definedName>
    <definedName name="_acb1">SUMIF(_Cum31,206,_sfd1)</definedName>
    <definedName name="_adn1" localSheetId="0">#REF!</definedName>
    <definedName name="_adn1">#REF!</definedName>
    <definedName name="_aea1" localSheetId="0">SUMIF(README!_cum41,2811,README!_sfc1)+SUMIF(README!_cum51,29191,README!_sfc1)</definedName>
    <definedName name="_aea1">SUMIF(_cum41,2811,_sfc1)+SUMIF(_cum51,29191,_sfc1)</definedName>
    <definedName name="_aeb1" localSheetId="0">SUMIF(README!_Cum31,211,README!_sfd1)+SUMIF(README!_cum41,2191,README!_sfd1)</definedName>
    <definedName name="_aeb1">SUMIF(_Cum31,211,_sfd1)+SUMIF(_cum41,2191,_sfd1)</definedName>
    <definedName name="_afa1" localSheetId="0">SUMIF(README!_cum41,2812,README!_sfc1)+SUMIF(README!_cum41,2913,README!_sfc1)+SUMIF(README!_cum41,2814,README!_sfc1)+SUMIF(README!_cum41,2912,README!_sfc1)+SUMIF(README!_cum41,2813,README!_sfc1)+SUMIF(README!_cum41,2914,README!_sfc1)+SUMIF(README!_cum51,29192,README!_sfc1)</definedName>
    <definedName name="_afa1">SUMIF(_cum41,2812,_sfc1)+SUMIF(_cum41,2913,_sfc1)+SUMIF(_cum41,2814,_sfc1)+SUMIF(_cum41,2912,_sfc1)+SUMIF(_cum41,2813,_sfc1)+SUMIF(_cum41,2914,_sfc1)+SUMIF(_cum51,29192,_sfc1)</definedName>
    <definedName name="_afb1" localSheetId="0">SUMIF(README!_Cum31,212,README!_sfd1)+SUMIF(README!_Cum31,213,README!_sfd1)+SUMIF(README!_Cum31,214,README!_sfd1)+SUMIF(README!_cum41,2193,README!_sfd1)</definedName>
    <definedName name="_afb1">SUMIF(_Cum31,212,_sfd1)+SUMIF(_Cum31,213,_sfd1)+SUMIF(_Cum31,214,_sfd1)+SUMIF(_cum41,2193,_sfd1)</definedName>
    <definedName name="_aga1" localSheetId="0">SUMIF(README!_cum41,2815,README!_sfc1)+SUMIF(README!_cum41,2816,README!_sfc1)+SUMIF(README!_cum41,2915,README!_sfc1)+SUMIF(README!_cum41,2916,README!_sfc1)</definedName>
    <definedName name="_aga1">SUMIF(_cum41,2815,_sfc1)+SUMIF(_cum41,2816,_sfc1)+SUMIF(_cum41,2915,_sfc1)+SUMIF(_cum41,2916,_sfc1)</definedName>
    <definedName name="_agb1" localSheetId="0">SUMIF(README!_Cum31,215,README!_sfd1)+SUMIF(README!_Cum31,216,README!_sfd1)</definedName>
    <definedName name="_agb1">SUMIF(_Cum31,215,_sfd1)+SUMIF(_Cum31,216,_sfd1)</definedName>
    <definedName name="_aha1" localSheetId="0">SUMIF(README!_cum41,2817,README!_sfc1)+SUMIF(README!_cum41,2818,README!_sfc1)+SUMIF(README!_cum41,2917,README!_sfc1)+SUMIF(README!_cum41,2918,README!_sfc1)+SUMIF(README!_cum51,29193,README!_sfc1)</definedName>
    <definedName name="_aha1">SUMIF(_cum41,2817,_sfc1)+SUMIF(_cum41,2818,_sfc1)+SUMIF(_cum41,2917,_sfc1)+SUMIF(_cum41,2918,_sfc1)+SUMIF(_cum51,29193,_sfc1)</definedName>
    <definedName name="_ahb1" localSheetId="0">SUMIF(README!_Cum31,217,README!_sfd1)+SUMIF(README!_Cum31,218,README!_sfd1)+SUMIF(README!_cum41,2198,README!_sfd1)</definedName>
    <definedName name="_ahb1">SUMIF(_Cum31,217,_sfd1)+SUMIF(_Cum31,218,_sfd1)+SUMIF(_cum41,2198,_sfd1)</definedName>
    <definedName name="_ain1" localSheetId="0">#REF!</definedName>
    <definedName name="_ain1">#REF!</definedName>
    <definedName name="_aja1" localSheetId="0">SUMIF(README!_Cum31,282,README!_sfc1)+SUMIF(README!_Cum31,292,README!_sfc1)</definedName>
    <definedName name="_aja1">SUMIF(_Cum31,282,_sfc1)+SUMIF(_Cum31,292,_sfc1)</definedName>
    <definedName name="_ajb1" localSheetId="0">SUMIF(README!_cum21,22,README!_sfd1)</definedName>
    <definedName name="_ajb1">SUMIF(_cum21,22,_sfd1)</definedName>
    <definedName name="_aka1" localSheetId="0">SUMIF(README!_cum41,2831,README!_sfc1)+SUMIF(README!_cum41,2832,README!_sfc1)+SUMIF(README!_cum41,2833,README!_sfc1)+SUMIF(README!_cum41,2837,README!_sfc1)+SUMIF(README!_cum41,2931,README!_sfc1)+SUMIF(README!_cum41,2932,README!_sfc1)+SUMIF(README!_cum41,2933,README!_sfc1)+SUMIF(README!_cum41,2937,README!_sfc1)+SUMIF(README!_cum51,29391,README!_sfc1)</definedName>
    <definedName name="_aka1">SUMIF(_cum41,2831,_sfc1)+SUMIF(_cum41,2832,_sfc1)+SUMIF(_cum41,2833,_sfc1)+SUMIF(_cum41,2837,_sfc1)+SUMIF(_cum41,2931,_sfc1)+SUMIF(_cum41,2932,_sfc1)+SUMIF(_cum41,2933,_sfc1)+SUMIF(_cum41,2937,_sfc1)+SUMIF(_cum51,29391,_sfc1)</definedName>
    <definedName name="_akb1" localSheetId="0">SUMIF(README!_Cum31,231,README!_sfd1)+SUMIF(README!_Cum31,232,README!_sfd1)+SUMIF(README!_Cum31,233,README!_sfd1)+SUMIF(README!_Cum31,237,README!_sfd1)+SUMIF(README!_cum41,2391,README!_sfd1)</definedName>
    <definedName name="_akb1">SUMIF(_Cum31,231,_sfd1)+SUMIF(_Cum31,232,_sfd1)+SUMIF(_Cum31,233,_sfd1)+SUMIF(_Cum31,237,_sfd1)+SUMIF(_cum41,2391,_sfd1)</definedName>
    <definedName name="_aqn1" localSheetId="0">#REF!</definedName>
    <definedName name="_aqn1">#REF!</definedName>
    <definedName name="_axa1">0</definedName>
    <definedName name="_axb1" localSheetId="0">SUMIF(README!_Cum31,202,README!_sfd1)</definedName>
    <definedName name="_axb1">SUMIF(_Cum31,202,_sfd1)</definedName>
    <definedName name="_AYA1">0</definedName>
    <definedName name="_AYB1" localSheetId="0">SUMIF(README!_Cum31,202,README!_sfd1)</definedName>
    <definedName name="_AYB1">SUMIF(_Cum31,202,_sfd1)</definedName>
    <definedName name="_azn1" localSheetId="0">#REF!</definedName>
    <definedName name="_azn1">#REF!</definedName>
    <definedName name="_bcn1" localSheetId="0">#REF!</definedName>
    <definedName name="_bcn1">#REF!</definedName>
    <definedName name="_bdn1" localSheetId="0">#REF!</definedName>
    <definedName name="_bdn1">#REF!</definedName>
    <definedName name="_ben1" localSheetId="0">#REF!</definedName>
    <definedName name="_ben1">#REF!</definedName>
    <definedName name="_bfe1" localSheetId="0">#REF!</definedName>
    <definedName name="_bfe1">#REF!</definedName>
    <definedName name="_bfe2" localSheetId="0">#REF!</definedName>
    <definedName name="_bfe2">#REF!</definedName>
    <definedName name="_bfn1" localSheetId="0">#REF!</definedName>
    <definedName name="_bfn1">#REF!</definedName>
    <definedName name="_bhn1" localSheetId="0">#REF!</definedName>
    <definedName name="_bhn1">#REF!</definedName>
    <definedName name="_bin1" localSheetId="0">#REF!</definedName>
    <definedName name="_bin1">#REF!</definedName>
    <definedName name="_bjn1" localSheetId="0">#REF!</definedName>
    <definedName name="_bjn1">#REF!</definedName>
    <definedName name="_bkn1" localSheetId="0">#REF!</definedName>
    <definedName name="_bkn1">#REF!</definedName>
    <definedName name="_btn1" localSheetId="0">#REF!</definedName>
    <definedName name="_btn1">#REF!</definedName>
    <definedName name="_bun1" localSheetId="0">#REF!</definedName>
    <definedName name="_bun1">#REF!</definedName>
    <definedName name="_bzn1" localSheetId="0">#REF!</definedName>
    <definedName name="_bzn1">#REF!</definedName>
    <definedName name="_cum1">#REF!</definedName>
    <definedName name="_cum2">#REF!</definedName>
    <definedName name="_cum21" localSheetId="0">#REF!</definedName>
    <definedName name="_cum21">#REF!</definedName>
    <definedName name="_cum3">#REF!</definedName>
    <definedName name="_Cum31" localSheetId="0">#REF!</definedName>
    <definedName name="_Cum31">#REF!</definedName>
    <definedName name="_cum4">#REF!</definedName>
    <definedName name="_cum41" localSheetId="0">#REF!</definedName>
    <definedName name="_cum41">#REF!</definedName>
    <definedName name="_cum5">#REF!</definedName>
    <definedName name="_cum51" localSheetId="0">#REF!</definedName>
    <definedName name="_cum51">#REF!</definedName>
    <definedName name="_cum6">#REF!</definedName>
    <definedName name="_cum7">#REF!</definedName>
    <definedName name="_cum8">#REF!</definedName>
    <definedName name="_din1" localSheetId="0">#REF!</definedName>
    <definedName name="_din1">#REF!</definedName>
    <definedName name="_djn1" localSheetId="0">#REF!</definedName>
    <definedName name="_djn1">#REF!</definedName>
    <definedName name="_dkn1" localSheetId="0">#REF!</definedName>
    <definedName name="_dkn1">#REF!</definedName>
    <definedName name="_dln1" localSheetId="0">#REF!</definedName>
    <definedName name="_dln1">#REF!</definedName>
    <definedName name="_dmn1" localSheetId="0">#REF!</definedName>
    <definedName name="_dmn1">#REF!</definedName>
    <definedName name="_dpn1" localSheetId="0">#REF!</definedName>
    <definedName name="_dpn1">#REF!</definedName>
    <definedName name="_dtn1" localSheetId="0">#REF!</definedName>
    <definedName name="_dtn1">#REF!</definedName>
    <definedName name="_dun1" localSheetId="0">#REF!</definedName>
    <definedName name="_dun1">#REF!</definedName>
    <definedName name="_dzn1" localSheetId="0">#REF!</definedName>
    <definedName name="_dzn1">#REF!</definedName>
    <definedName name="_FFN1" localSheetId="0">#REF!</definedName>
    <definedName name="_FFN1">#REF!</definedName>
    <definedName name="_FGN1" localSheetId="0">#REF!</definedName>
    <definedName name="_FGN1">#REF!</definedName>
    <definedName name="_Fill">#REF!</definedName>
    <definedName name="_xlnm._FilterDatabase" localSheetId="3" hidden="1">choices!$A$1:$F$424</definedName>
    <definedName name="_xlnm._FilterDatabase" localSheetId="1" hidden="1">survey!$A$1:$U$666</definedName>
    <definedName name="_fkn1" localSheetId="0">#REF!</definedName>
    <definedName name="_fkn1">#REF!</definedName>
    <definedName name="_fsn1" localSheetId="0">#REF!</definedName>
    <definedName name="_fsn1">#REF!</definedName>
    <definedName name="_ftn1" localSheetId="0">#REF!</definedName>
    <definedName name="_ftn1">#REF!</definedName>
    <definedName name="_fwn1" localSheetId="0">#REF!</definedName>
    <definedName name="_fwn1">#REF!</definedName>
    <definedName name="_Key1">#REF!</definedName>
    <definedName name="_key11">#REF!</definedName>
    <definedName name="_Key1b">#REF!</definedName>
    <definedName name="_Key2">#REF!</definedName>
    <definedName name="_MB40">#REF!</definedName>
    <definedName name="_MB44">#REF!</definedName>
    <definedName name="_mc1" localSheetId="0">#REF!</definedName>
    <definedName name="_mc1">#REF!</definedName>
    <definedName name="_md1" localSheetId="0">#REF!</definedName>
    <definedName name="_md1">#REF!</definedName>
    <definedName name="_Order1">255</definedName>
    <definedName name="_Order2">255</definedName>
    <definedName name="_ran1" localSheetId="0">#REF!</definedName>
    <definedName name="_ran1">#REF!</definedName>
    <definedName name="_rbn1" localSheetId="0">#REF!</definedName>
    <definedName name="_rbn1">#REF!</definedName>
    <definedName name="_rcn1" localSheetId="0">#REF!</definedName>
    <definedName name="_rcn1">#REF!</definedName>
    <definedName name="_rdn1" localSheetId="0">#REF!</definedName>
    <definedName name="_rdn1">#REF!</definedName>
    <definedName name="_ren1" localSheetId="0">#REF!</definedName>
    <definedName name="_ren1">#REF!</definedName>
    <definedName name="_rhn1" localSheetId="0">#REF!</definedName>
    <definedName name="_rhn1">#REF!</definedName>
    <definedName name="_rin1" localSheetId="0">#REF!</definedName>
    <definedName name="_rin1">#REF!</definedName>
    <definedName name="_rjn1" localSheetId="0">#REF!</definedName>
    <definedName name="_rjn1">#REF!</definedName>
    <definedName name="_rkn1" localSheetId="0">#REF!</definedName>
    <definedName name="_rkn1">#REF!</definedName>
    <definedName name="_rln1" localSheetId="0">#REF!</definedName>
    <definedName name="_rln1">#REF!</definedName>
    <definedName name="_rpn1" localSheetId="0">#REF!</definedName>
    <definedName name="_rpn1">#REF!</definedName>
    <definedName name="_rwn1" localSheetId="0">#REF!</definedName>
    <definedName name="_rwn1">#REF!</definedName>
    <definedName name="_san1" localSheetId="0">#REF!</definedName>
    <definedName name="_san1">#REF!</definedName>
    <definedName name="_scn1" localSheetId="0">#REF!</definedName>
    <definedName name="_scn1">#REF!</definedName>
    <definedName name="_sfc1" localSheetId="0">#REF!</definedName>
    <definedName name="_sfc1">#REF!</definedName>
    <definedName name="_sfd1" localSheetId="0">#REF!</definedName>
    <definedName name="_sfd1">#REF!</definedName>
    <definedName name="_sfn1" localSheetId="0">#REF!</definedName>
    <definedName name="_sfn1">#REF!</definedName>
    <definedName name="_shn1" localSheetId="0">#REF!</definedName>
    <definedName name="_shn1">#REF!</definedName>
    <definedName name="_sic1" localSheetId="0">#REF!</definedName>
    <definedName name="_sic1">#REF!</definedName>
    <definedName name="_sid1" localSheetId="0">#REF!</definedName>
    <definedName name="_sid1">#REF!</definedName>
    <definedName name="_son1" localSheetId="0">#REF!</definedName>
    <definedName name="_son1">#REF!</definedName>
    <definedName name="_Sort">#REF!</definedName>
    <definedName name="_Sortb">#REF!</definedName>
    <definedName name="_sqn1" localSheetId="0">#REF!</definedName>
    <definedName name="_sqn1">#REF!</definedName>
    <definedName name="_srn1" localSheetId="0">#REF!</definedName>
    <definedName name="_srn1">#REF!</definedName>
    <definedName name="_ssn1" localSheetId="0">#REF!</definedName>
    <definedName name="_ssn1">#REF!</definedName>
    <definedName name="_stn1" localSheetId="0">#REF!</definedName>
    <definedName name="_stn1">#REF!</definedName>
    <definedName name="_tan1" localSheetId="0">#REF!</definedName>
    <definedName name="_tan1">#REF!</definedName>
    <definedName name="_tbn1" localSheetId="0">#REF!</definedName>
    <definedName name="_tbn1">#REF!</definedName>
    <definedName name="_tcn1" localSheetId="0">#REF!</definedName>
    <definedName name="_tcn1">#REF!</definedName>
    <definedName name="_tdn1" localSheetId="0">#REF!</definedName>
    <definedName name="_tdn1">#REF!</definedName>
    <definedName name="_ten1" localSheetId="0">#REF!</definedName>
    <definedName name="_ten1">#REF!</definedName>
    <definedName name="_tfn1" localSheetId="0">#REF!</definedName>
    <definedName name="_tfn1">#REF!</definedName>
    <definedName name="_tgn1" localSheetId="0">#REF!</definedName>
    <definedName name="_tgn1">#REF!</definedName>
    <definedName name="_thn1" localSheetId="0">#REF!</definedName>
    <definedName name="_thn1">#REF!</definedName>
    <definedName name="_tkn1" localSheetId="0">#REF!</definedName>
    <definedName name="_tkn1">#REF!</definedName>
    <definedName name="_tln1" localSheetId="0">#REF!</definedName>
    <definedName name="_tln1">#REF!</definedName>
    <definedName name="_tnn1" localSheetId="0">#REF!</definedName>
    <definedName name="_tnn1">#REF!</definedName>
    <definedName name="_tqn1" localSheetId="0">#REF!</definedName>
    <definedName name="_tqn1">#REF!</definedName>
    <definedName name="_ttn1" localSheetId="0">#REF!</definedName>
    <definedName name="_ttn1">#REF!</definedName>
    <definedName name="_twn1" localSheetId="0">#REF!</definedName>
    <definedName name="_twn1">#REF!</definedName>
    <definedName name="_uan1" localSheetId="0">#REF!</definedName>
    <definedName name="_uan1">#REF!</definedName>
    <definedName name="_ucn1" localSheetId="0">#REF!</definedName>
    <definedName name="_ucn1">#REF!</definedName>
    <definedName name="_uen1" localSheetId="0">#REF!</definedName>
    <definedName name="_uen1">#REF!</definedName>
    <definedName name="_ufn1" localSheetId="0">#REF!</definedName>
    <definedName name="_ufn1">#REF!</definedName>
    <definedName name="_uhn1" localSheetId="0">#REF!</definedName>
    <definedName name="_uhn1">#REF!</definedName>
    <definedName name="_uln1" localSheetId="0">#REF!</definedName>
    <definedName name="_uln1">#REF!</definedName>
    <definedName name="_unn1" localSheetId="0">#REF!</definedName>
    <definedName name="_unn1">#REF!</definedName>
    <definedName name="_uon1" localSheetId="0">#REF!</definedName>
    <definedName name="_uon1">#REF!</definedName>
    <definedName name="_utn1" localSheetId="0">#REF!</definedName>
    <definedName name="_utn1">#REF!</definedName>
    <definedName name="a" localSheetId="0">#REF!</definedName>
    <definedName name="a">#REF!</definedName>
    <definedName name="aa" localSheetId="0">#REF!</definedName>
    <definedName name="aa">#REF!</definedName>
    <definedName name="aab" localSheetId="0">#REF!</definedName>
    <definedName name="aab">#REF!</definedName>
    <definedName name="ab" localSheetId="0">#REF!</definedName>
    <definedName name="ab">#REF!</definedName>
    <definedName name="abc">#REF!</definedName>
    <definedName name="Accomodation" localSheetId="0">#REF!</definedName>
    <definedName name="Accomodation">#REF!</definedName>
    <definedName name="Account" localSheetId="0">OFFSET(#REF!,0,0,COUNTA(#REF!),1)</definedName>
    <definedName name="Account">OFFSET(#REF!,0,0,COUNTA(#REF!),1)</definedName>
    <definedName name="Account_Category">#REF!</definedName>
    <definedName name="Account_Category_Description">#REF!</definedName>
    <definedName name="Activities" localSheetId="0">#REF!</definedName>
    <definedName name="Activities">#REF!</definedName>
    <definedName name="activity" localSheetId="0">#REF!</definedName>
    <definedName name="activity">#REF!</definedName>
    <definedName name="Activity_List" localSheetId="0">OFFSET(#REF!,0,0,COUNTA(#REF!)-1)</definedName>
    <definedName name="Activity_List">OFFSET(#REF!,0,0,COUNTA(#REF!)-1)</definedName>
    <definedName name="actprinc" localSheetId="0">#REF!</definedName>
    <definedName name="actprinc">#REF!</definedName>
    <definedName name="Actuals">#REF!</definedName>
    <definedName name="Actuals2">#REF!</definedName>
    <definedName name="ACU" localSheetId="0">#REF!</definedName>
    <definedName name="ACU">#REF!</definedName>
    <definedName name="ada" localSheetId="0">#REF!</definedName>
    <definedName name="ada">#REF!</definedName>
    <definedName name="adb" localSheetId="0">#REF!</definedName>
    <definedName name="adb">#REF!</definedName>
    <definedName name="adminfee" localSheetId="0">#REF!</definedName>
    <definedName name="adminfee">#REF!</definedName>
    <definedName name="adn" localSheetId="0">#REF!</definedName>
    <definedName name="adn">#REF!</definedName>
    <definedName name="adres" localSheetId="0">#REF!</definedName>
    <definedName name="adres">#REF!</definedName>
    <definedName name="adsf">#REF!</definedName>
    <definedName name="Advertising">#REF!</definedName>
    <definedName name="af" localSheetId="0">#REF!</definedName>
    <definedName name="af">#REF!</definedName>
    <definedName name="AFRICA">#REF!</definedName>
    <definedName name="Aggregated_Project" localSheetId="0">#REF!</definedName>
    <definedName name="Aggregated_Project">#REF!</definedName>
    <definedName name="aia" localSheetId="0">#REF!</definedName>
    <definedName name="aia">#REF!</definedName>
    <definedName name="aib" localSheetId="0">#REF!</definedName>
    <definedName name="aib">#REF!</definedName>
    <definedName name="ain" localSheetId="0">#REF!</definedName>
    <definedName name="ain">#REF!</definedName>
    <definedName name="akfh">#REF!</definedName>
    <definedName name="akldfj">#REF!</definedName>
    <definedName name="amount" localSheetId="0">#REF!</definedName>
    <definedName name="amount">#REF!</definedName>
    <definedName name="amount_type" localSheetId="0">#REF!</definedName>
    <definedName name="amount_type">#REF!</definedName>
    <definedName name="amount2" localSheetId="0">#REF!</definedName>
    <definedName name="amount2">#REF!</definedName>
    <definedName name="amts" localSheetId="0">#REF!</definedName>
    <definedName name="amts">#REF!</definedName>
    <definedName name="AprIndex" localSheetId="0">#REF!</definedName>
    <definedName name="AprIndex">#REF!</definedName>
    <definedName name="aqb" localSheetId="0">#REF!</definedName>
    <definedName name="aqb">#REF!</definedName>
    <definedName name="aug">#REF!</definedName>
    <definedName name="AugIndex" localSheetId="0">#REF!</definedName>
    <definedName name="AugIndex">#REF!</definedName>
    <definedName name="avrent">#REF!</definedName>
    <definedName name="AWBN" localSheetId="0">#REF!</definedName>
    <definedName name="AWBN">#REF!</definedName>
    <definedName name="awnn" localSheetId="0">#REF!</definedName>
    <definedName name="awnn">#REF!</definedName>
    <definedName name="axa" localSheetId="0">#REF!</definedName>
    <definedName name="axa">#REF!</definedName>
    <definedName name="axb" localSheetId="0">#REF!</definedName>
    <definedName name="axb">#REF!</definedName>
    <definedName name="aya" localSheetId="0">#REF!</definedName>
    <definedName name="aya">#REF!</definedName>
    <definedName name="ayb" localSheetId="0">#REF!</definedName>
    <definedName name="ayb">#REF!</definedName>
    <definedName name="aza" localSheetId="0">#REF!</definedName>
    <definedName name="aza">#REF!</definedName>
    <definedName name="azb" localSheetId="0">#REF!</definedName>
    <definedName name="azb">#REF!</definedName>
    <definedName name="b" localSheetId="0">#REF!</definedName>
    <definedName name="b">#REF!</definedName>
    <definedName name="ban" localSheetId="0">#REF!</definedName>
    <definedName name="ban">#REF!</definedName>
    <definedName name="BCAI" localSheetId="0">#REF!</definedName>
    <definedName name="BCAI">#REF!</definedName>
    <definedName name="bcn" localSheetId="0">#REF!</definedName>
    <definedName name="bcn">#REF!</definedName>
    <definedName name="bdn" localSheetId="0">#REF!</definedName>
    <definedName name="bdn">#REF!</definedName>
    <definedName name="ben" localSheetId="0">#REF!</definedName>
    <definedName name="ben">#REF!</definedName>
    <definedName name="bfd" localSheetId="0">#REF!</definedName>
    <definedName name="bfd">#REF!</definedName>
    <definedName name="BFE" localSheetId="0">#REF!</definedName>
    <definedName name="BFE">#REF!</definedName>
    <definedName name="bfn" localSheetId="0">#REF!</definedName>
    <definedName name="bfn">#REF!</definedName>
    <definedName name="bhn" localSheetId="0">#REF!</definedName>
    <definedName name="bhn">#REF!</definedName>
    <definedName name="bin" localSheetId="0">#REF!</definedName>
    <definedName name="bin">#REF!</definedName>
    <definedName name="bjn" localSheetId="0">#REF!</definedName>
    <definedName name="bjn">#REF!</definedName>
    <definedName name="bkn" localSheetId="0">#REF!</definedName>
    <definedName name="bkn">#REF!</definedName>
    <definedName name="BMGFMELIM1" localSheetId="0">#REF!</definedName>
    <definedName name="BMGFMELIM1">#REF!</definedName>
    <definedName name="BMGFMELIM3" localSheetId="0">#REF!</definedName>
    <definedName name="BMGFMELIM3">#REF!</definedName>
    <definedName name="bp" localSheetId="0">#REF!</definedName>
    <definedName name="bp">#REF!</definedName>
    <definedName name="BRate">#REF!</definedName>
    <definedName name="BRate2">#REF!</definedName>
    <definedName name="BRate40">#REF!</definedName>
    <definedName name="Brate40old">#REF!</definedName>
    <definedName name="BRate44">#REF!</definedName>
    <definedName name="Brate44old">#REF!</definedName>
    <definedName name="BRateOld">#REF!</definedName>
    <definedName name="BRateOld2">#REF!</definedName>
    <definedName name="BREER40">#REF!</definedName>
    <definedName name="BREER40Nurse">#REF!</definedName>
    <definedName name="BREER40NurseOld">#REF!</definedName>
    <definedName name="BREER40old">#REF!</definedName>
    <definedName name="BREER44">#REF!</definedName>
    <definedName name="BREER44old">#REF!</definedName>
    <definedName name="btn" localSheetId="0">#REF!</definedName>
    <definedName name="btn">#REF!</definedName>
    <definedName name="budget" localSheetId="0">#REF!</definedName>
    <definedName name="budget">#REF!</definedName>
    <definedName name="budget_revision" localSheetId="0">#REF!</definedName>
    <definedName name="budget_revision">#REF!</definedName>
    <definedName name="BudgetName" localSheetId="0">#REF!</definedName>
    <definedName name="BudgetName">#REF!</definedName>
    <definedName name="budgetYear" localSheetId="0">#REF!</definedName>
    <definedName name="budgetYear">#REF!</definedName>
    <definedName name="bun" localSheetId="0">#REF!</definedName>
    <definedName name="bun">#REF!</definedName>
    <definedName name="By_Country" localSheetId="0">#REF!</definedName>
    <definedName name="By_Country">#REF!</definedName>
    <definedName name="bza" localSheetId="0">#REF!</definedName>
    <definedName name="bza">#REF!</definedName>
    <definedName name="bzb" localSheetId="0">#REF!</definedName>
    <definedName name="bzb">#REF!</definedName>
    <definedName name="bzn" localSheetId="0">#REF!</definedName>
    <definedName name="bzn">#REF!</definedName>
    <definedName name="cafg" localSheetId="0">#REF!</definedName>
    <definedName name="cafg">#REF!</definedName>
    <definedName name="cafgn1" localSheetId="0">#REF!</definedName>
    <definedName name="cafgn1">#REF!</definedName>
    <definedName name="Cameroon_UN" localSheetId="0">#REF!</definedName>
    <definedName name="Cameroon_UN">#REF!</definedName>
    <definedName name="Categories" localSheetId="0">#REF!</definedName>
    <definedName name="Categories">#REF!</definedName>
    <definedName name="Categories2" localSheetId="0">#REF!</definedName>
    <definedName name="Categories2">#REF!</definedName>
    <definedName name="CATEGORY_TYPE_Summary">#REF!</definedName>
    <definedName name="CATH">#REF!</definedName>
    <definedName name="CD4_Platforms_used" localSheetId="0">#REF!</definedName>
    <definedName name="CD4_Platforms_used">#REF!</definedName>
    <definedName name="CDCFHAIT4" localSheetId="0">#REF!</definedName>
    <definedName name="CDCFHAIT4">#REF!</definedName>
    <definedName name="cfaeur" localSheetId="0">#REF!</definedName>
    <definedName name="cfaeur">#REF!</definedName>
    <definedName name="CHAIMeals" localSheetId="0">#REF!</definedName>
    <definedName name="CHAIMeals">#REF!</definedName>
    <definedName name="change_adult_col">#REF!</definedName>
    <definedName name="change_adult_row">#REF!</definedName>
    <definedName name="change_adult_row_range">#REF!</definedName>
    <definedName name="change_trtfail_adult_col">#REF!</definedName>
    <definedName name="change_trtfail_adult_row">#REF!</definedName>
    <definedName name="change_trtfail_adult_row_range">#REF!</definedName>
    <definedName name="chn" localSheetId="0">#REF!</definedName>
    <definedName name="chn">#REF!</definedName>
    <definedName name="cin" localSheetId="0">#REF!</definedName>
    <definedName name="cin">#REF!</definedName>
    <definedName name="CIS">#REF!</definedName>
    <definedName name="Class">#REF!</definedName>
    <definedName name="Classification" localSheetId="0">#REF!</definedName>
    <definedName name="Classification">#REF!</definedName>
    <definedName name="clinic_num_in_col">#REF!</definedName>
    <definedName name="clinic_num_in_row">#REF!</definedName>
    <definedName name="clinics_adult_col">#REF!</definedName>
    <definedName name="clinics_adult_num">#REF!</definedName>
    <definedName name="clinics_adult_row">#REF!</definedName>
    <definedName name="cmn" localSheetId="0">#REF!</definedName>
    <definedName name="cmn">#REF!</definedName>
    <definedName name="CNC">#REF!</definedName>
    <definedName name="COA" localSheetId="0">#REF!</definedName>
    <definedName name="COA">#REF!</definedName>
    <definedName name="code" localSheetId="0">#REF!</definedName>
    <definedName name="code">#REF!</definedName>
    <definedName name="codes" localSheetId="0">#REF!</definedName>
    <definedName name="codes">#REF!</definedName>
    <definedName name="cofunding_by_category" localSheetId="0">#REF!</definedName>
    <definedName name="cofunding_by_category">#REF!</definedName>
    <definedName name="Commodities">#REF!</definedName>
    <definedName name="Communication_Education">#REF!</definedName>
    <definedName name="Comp" localSheetId="0">#REF!</definedName>
    <definedName name="Comp">#REF!</definedName>
    <definedName name="Company" localSheetId="0">#REF!</definedName>
    <definedName name="Company">#REF!</definedName>
    <definedName name="components">#REF!</definedName>
    <definedName name="Consultants" localSheetId="0">#REF!</definedName>
    <definedName name="Consultants">#REF!</definedName>
    <definedName name="cont" localSheetId="0">#REF!</definedName>
    <definedName name="cont">#REF!</definedName>
    <definedName name="Contingency" localSheetId="0">#REF!</definedName>
    <definedName name="Contingency">#REF!</definedName>
    <definedName name="Copy">#REF!</definedName>
    <definedName name="CorporateOverhead">#REF!</definedName>
    <definedName name="cost_assumption_sources">#REF!</definedName>
    <definedName name="CostCategories" localSheetId="0">#REF!</definedName>
    <definedName name="CostCategories">#REF!</definedName>
    <definedName name="CostCategories2" localSheetId="0">#REF!</definedName>
    <definedName name="CostCategories2">#REF!</definedName>
    <definedName name="CostCategories3" localSheetId="0">#REF!</definedName>
    <definedName name="CostCategories3">#REF!</definedName>
    <definedName name="Costlist" localSheetId="0">#REF!</definedName>
    <definedName name="Costlist">#REF!</definedName>
    <definedName name="CostperKM" localSheetId="0">#REF!</definedName>
    <definedName name="CostperKM">#REF!</definedName>
    <definedName name="Country">#REF!</definedName>
    <definedName name="country0_currency" localSheetId="0">#REF!</definedName>
    <definedName name="country0_currency">#REF!</definedName>
    <definedName name="country0_dollarlc" localSheetId="0">#REF!</definedName>
    <definedName name="country0_dollarlc">#REF!</definedName>
    <definedName name="country1_currency" localSheetId="0">#REF!</definedName>
    <definedName name="country1_currency">#REF!</definedName>
    <definedName name="country1_dollarlc" localSheetId="0">#REF!</definedName>
    <definedName name="country1_dollarlc">#REF!</definedName>
    <definedName name="country2_currency" localSheetId="0">#REF!</definedName>
    <definedName name="country2_currency">#REF!</definedName>
    <definedName name="country2_dollarlc" localSheetId="0">#REF!</definedName>
    <definedName name="country2_dollarlc">#REF!</definedName>
    <definedName name="country3_currency" localSheetId="0">#REF!</definedName>
    <definedName name="country3_currency">#REF!</definedName>
    <definedName name="country3_dollarlc" localSheetId="0">#REF!</definedName>
    <definedName name="country3_dollarlc">#REF!</definedName>
    <definedName name="country4_currency" localSheetId="0">#REF!</definedName>
    <definedName name="country4_currency">#REF!</definedName>
    <definedName name="country4_dollarlc" localSheetId="0">#REF!</definedName>
    <definedName name="country4_dollarlc">#REF!</definedName>
    <definedName name="country5_currency" localSheetId="0">#REF!</definedName>
    <definedName name="country5_currency">#REF!</definedName>
    <definedName name="country5_dollarlc" localSheetId="0">#REF!</definedName>
    <definedName name="country5_dollarlc">#REF!</definedName>
    <definedName name="country6_currency" localSheetId="0">#REF!</definedName>
    <definedName name="country6_currency">#REF!</definedName>
    <definedName name="country6_dollarlc" localSheetId="0">#REF!</definedName>
    <definedName name="country6_dollarlc">#REF!</definedName>
    <definedName name="country7_currency" localSheetId="0">#REF!</definedName>
    <definedName name="country7_currency">#REF!</definedName>
    <definedName name="country7_dollarlc" localSheetId="0">#REF!</definedName>
    <definedName name="country7_dollarlc">#REF!</definedName>
    <definedName name="country8_currency" localSheetId="0">#REF!</definedName>
    <definedName name="country8_currency">#REF!</definedName>
    <definedName name="country8_dollarlc" localSheetId="0">#REF!</definedName>
    <definedName name="country8_dollarlc">#REF!</definedName>
    <definedName name="country9_currency" localSheetId="0">#REF!</definedName>
    <definedName name="country9_currency">#REF!</definedName>
    <definedName name="country9_dollarlc" localSheetId="0">#REF!</definedName>
    <definedName name="country9_dollarlc">#REF!</definedName>
    <definedName name="Countrys" localSheetId="0">#REF!</definedName>
    <definedName name="Countrys">#REF!</definedName>
    <definedName name="cpn" localSheetId="0">#REF!</definedName>
    <definedName name="cpn">#REF!</definedName>
    <definedName name="cpte">#REF!</definedName>
    <definedName name="cpte1" localSheetId="0">#REF!</definedName>
    <definedName name="cpte1">#REF!</definedName>
    <definedName name="cr">"COPYRIGTH © CAPRICE SARL  B.P. : 7523 DOUALA - CAMEROUN  TEL. : 237 950 57 37 / 237 750 15 67 / 237 343 12 52"</definedName>
    <definedName name="Current">#REF!</definedName>
    <definedName name="CurrentA" localSheetId="0">#REF!</definedName>
    <definedName name="CurrentA">#REF!</definedName>
    <definedName name="CurrentB" localSheetId="0">#REF!</definedName>
    <definedName name="CurrentB">#REF!</definedName>
    <definedName name="CZECH">#REF!</definedName>
    <definedName name="D" localSheetId="0">#REF!</definedName>
    <definedName name="D">#REF!</definedName>
    <definedName name="dangerpay" localSheetId="0">#REF!</definedName>
    <definedName name="dangerpay">#REF!</definedName>
    <definedName name="dangerpay.expat1" localSheetId="0">#REF!</definedName>
    <definedName name="dangerpay.expat1">#REF!</definedName>
    <definedName name="dangerpay.expat10" localSheetId="0">#REF!</definedName>
    <definedName name="dangerpay.expat10">#REF!</definedName>
    <definedName name="dangerpay.expat11" localSheetId="0">#REF!</definedName>
    <definedName name="dangerpay.expat11">#REF!</definedName>
    <definedName name="dangerpay.expat12" localSheetId="0">#REF!</definedName>
    <definedName name="dangerpay.expat12">#REF!</definedName>
    <definedName name="dangerpay.expat2" localSheetId="0">#REF!</definedName>
    <definedName name="dangerpay.expat2">#REF!</definedName>
    <definedName name="dangerpay.expat3" localSheetId="0">#REF!</definedName>
    <definedName name="dangerpay.expat3">#REF!</definedName>
    <definedName name="dangerpay.expat4" localSheetId="0">#REF!</definedName>
    <definedName name="dangerpay.expat4">#REF!</definedName>
    <definedName name="dangerpay.expat5" localSheetId="0">#REF!</definedName>
    <definedName name="dangerpay.expat5">#REF!</definedName>
    <definedName name="dangerpay.expat6" localSheetId="0">#REF!</definedName>
    <definedName name="dangerpay.expat6">#REF!</definedName>
    <definedName name="dangerpay.expat7" localSheetId="0">#REF!</definedName>
    <definedName name="dangerpay.expat7">#REF!</definedName>
    <definedName name="dangerpay.expat8" localSheetId="0">#REF!</definedName>
    <definedName name="dangerpay.expat8">#REF!</definedName>
    <definedName name="dangerpay.expat9" localSheetId="0">#REF!</definedName>
    <definedName name="dangerpay.expat9">#REF!</definedName>
    <definedName name="dangerpay.intlstaff1" localSheetId="0">#REF!</definedName>
    <definedName name="dangerpay.intlstaff1">#REF!</definedName>
    <definedName name="dangerpay.intlstaff10" localSheetId="0">#REF!</definedName>
    <definedName name="dangerpay.intlstaff10">#REF!</definedName>
    <definedName name="dangerpay.intlstaff11" localSheetId="0">#REF!</definedName>
    <definedName name="dangerpay.intlstaff11">#REF!</definedName>
    <definedName name="dangerpay.intlstaff12" localSheetId="0">#REF!</definedName>
    <definedName name="dangerpay.intlstaff12">#REF!</definedName>
    <definedName name="dangerpay.intlstaff13" localSheetId="0">#REF!</definedName>
    <definedName name="dangerpay.intlstaff13">#REF!</definedName>
    <definedName name="dangerpay.intlstaff14" localSheetId="0">#REF!</definedName>
    <definedName name="dangerpay.intlstaff14">#REF!</definedName>
    <definedName name="dangerpay.intlstaff15" localSheetId="0">#REF!</definedName>
    <definedName name="dangerpay.intlstaff15">#REF!</definedName>
    <definedName name="dangerpay.intlstaff2" localSheetId="0">#REF!</definedName>
    <definedName name="dangerpay.intlstaff2">#REF!</definedName>
    <definedName name="dangerpay.intlstaff3" localSheetId="0">#REF!</definedName>
    <definedName name="dangerpay.intlstaff3">#REF!</definedName>
    <definedName name="dangerpay.intlstaff4" localSheetId="0">#REF!</definedName>
    <definedName name="dangerpay.intlstaff4">#REF!</definedName>
    <definedName name="dangerpay.intlstaff5" localSheetId="0">#REF!</definedName>
    <definedName name="dangerpay.intlstaff5">#REF!</definedName>
    <definedName name="dangerpay.intlstaff6" localSheetId="0">#REF!</definedName>
    <definedName name="dangerpay.intlstaff6">#REF!</definedName>
    <definedName name="dangerpay.intlstaff7" localSheetId="0">#REF!</definedName>
    <definedName name="dangerpay.intlstaff7">#REF!</definedName>
    <definedName name="dangerpay.intlstaff8" localSheetId="0">#REF!</definedName>
    <definedName name="dangerpay.intlstaff8">#REF!</definedName>
    <definedName name="dangerpay.intlstaff9" localSheetId="0">#REF!</definedName>
    <definedName name="dangerpay.intlstaff9">#REF!</definedName>
    <definedName name="dangerpay.researcher" localSheetId="0">#REF!</definedName>
    <definedName name="dangerpay.researcher">#REF!</definedName>
    <definedName name="date_range" localSheetId="0">#REF!</definedName>
    <definedName name="date_range">#REF!</definedName>
    <definedName name="Date_Table" localSheetId="0">#REF!</definedName>
    <definedName name="Date_Table">#REF!</definedName>
    <definedName name="daterange" localSheetId="0">#REF!</definedName>
    <definedName name="daterange">#REF!</definedName>
    <definedName name="daterange2" localSheetId="0">#REF!</definedName>
    <definedName name="daterange2">#REF!</definedName>
    <definedName name="ddwedewdx3wed">#REF!</definedName>
    <definedName name="dec">#REF!</definedName>
    <definedName name="DecIndex" localSheetId="0">#REF!</definedName>
    <definedName name="DecIndex">#REF!</definedName>
    <definedName name="den" localSheetId="0">#REF!</definedName>
    <definedName name="den">#REF!</definedName>
    <definedName name="detailed">#REF!</definedName>
    <definedName name="dexo" localSheetId="0">#REF!</definedName>
    <definedName name="dexo">#REF!</definedName>
    <definedName name="df">#REF!</definedName>
    <definedName name="DFIDACCESS4" localSheetId="0">#REF!</definedName>
    <definedName name="DFIDACCESS4">#REF!</definedName>
    <definedName name="dflk">#REF!</definedName>
    <definedName name="dfn" localSheetId="0">#REF!</definedName>
    <definedName name="dfn">#REF!</definedName>
    <definedName name="dhn" localSheetId="0">#REF!</definedName>
    <definedName name="dhn">#REF!</definedName>
    <definedName name="din" localSheetId="0">#REF!</definedName>
    <definedName name="din">#REF!</definedName>
    <definedName name="Direct">#REF!</definedName>
    <definedName name="DirectStaffCosts">#REF!</definedName>
    <definedName name="DistrictEventAccommodation" localSheetId="0">#REF!</definedName>
    <definedName name="DistrictEventAccommodation">#REF!</definedName>
    <definedName name="DistrictFTDinnerRateA" localSheetId="0">#REF!</definedName>
    <definedName name="DistrictFTDinnerRateA">#REF!</definedName>
    <definedName name="djn" localSheetId="0">#REF!</definedName>
    <definedName name="djn">#REF!</definedName>
    <definedName name="dkn" localSheetId="0">#REF!</definedName>
    <definedName name="dkn">#REF!</definedName>
    <definedName name="dln" localSheetId="0">#REF!</definedName>
    <definedName name="dln">#REF!</definedName>
    <definedName name="dmn" localSheetId="0">#REF!</definedName>
    <definedName name="dmn">#REF!</definedName>
    <definedName name="DollarLC" localSheetId="0">#REF!</definedName>
    <definedName name="DollarLC">#REF!</definedName>
    <definedName name="Donor_Status">#REF!</definedName>
    <definedName name="Donors">#REF!</definedName>
    <definedName name="dpn" localSheetId="0">#REF!</definedName>
    <definedName name="dpn">#REF!</definedName>
    <definedName name="DriverDailyAllowance" localSheetId="0">#REF!</definedName>
    <definedName name="DriverDailyAllowance">#REF!</definedName>
    <definedName name="DriverOvernightAllowance" localSheetId="0">#REF!</definedName>
    <definedName name="DriverOvernightAllowance">#REF!</definedName>
    <definedName name="drug_2nd_col">#REF!</definedName>
    <definedName name="drug_2nd_col_range">#REF!</definedName>
    <definedName name="drug_2nd_row">#REF!</definedName>
    <definedName name="drug_adult_in_col">#REF!</definedName>
    <definedName name="drug_adult_in_row">#REF!</definedName>
    <definedName name="drug_adult_in_row_range">#REF!</definedName>
    <definedName name="drug_adult_proj_col">#REF!</definedName>
    <definedName name="drug_adult_proj_row">#REF!</definedName>
    <definedName name="drug_adult_proj_row_range">#REF!</definedName>
    <definedName name="drug_adult_stock_col">#REF!</definedName>
    <definedName name="drug_adult_stock_col_range">#REF!</definedName>
    <definedName name="drug_adult_stock_row">#REF!</definedName>
    <definedName name="drug_adult_stock_row_range">#REF!</definedName>
    <definedName name="drug_comb_output_col">#REF!</definedName>
    <definedName name="drug_comb_output_col_range">#REF!</definedName>
    <definedName name="drug_comb_output_row">#REF!</definedName>
    <definedName name="drug_comb_proj_col">#REF!</definedName>
    <definedName name="drug_comb_proj_col_range">#REF!</definedName>
    <definedName name="drug_comb_proj_row">#REF!</definedName>
    <definedName name="drug_peds_in_col">#REF!</definedName>
    <definedName name="drug_peds_in_row">#REF!</definedName>
    <definedName name="drug_peds_in_row_range">#REF!</definedName>
    <definedName name="drug_peds_proj_col">#REF!</definedName>
    <definedName name="drug_peds_proj_row">#REF!</definedName>
    <definedName name="drug_peds_proj_row_range">#REF!</definedName>
    <definedName name="drug_peds_stock_col">#REF!</definedName>
    <definedName name="drug_peds_stock_col_range">#REF!</definedName>
    <definedName name="drug_peds_stock_row">#REF!</definedName>
    <definedName name="drug1">#REF!</definedName>
    <definedName name="drugs">#REF!</definedName>
    <definedName name="dtn" localSheetId="0">#REF!</definedName>
    <definedName name="dtn">#REF!</definedName>
    <definedName name="dun" localSheetId="0">#REF!</definedName>
    <definedName name="dun">#REF!</definedName>
    <definedName name="dzn" localSheetId="0">#REF!</definedName>
    <definedName name="dzn">#REF!</definedName>
    <definedName name="Economy">#REF!</definedName>
    <definedName name="eduallowance" localSheetId="0">#REF!</definedName>
    <definedName name="eduallowance">#REF!</definedName>
    <definedName name="eduallowance.expat1" localSheetId="0">#REF!</definedName>
    <definedName name="eduallowance.expat1">#REF!</definedName>
    <definedName name="eduallowance.expat10" localSheetId="0">#REF!</definedName>
    <definedName name="eduallowance.expat10">#REF!</definedName>
    <definedName name="eduallowance.expat11" localSheetId="0">#REF!</definedName>
    <definedName name="eduallowance.expat11">#REF!</definedName>
    <definedName name="eduallowance.expat12" localSheetId="0">#REF!</definedName>
    <definedName name="eduallowance.expat12">#REF!</definedName>
    <definedName name="eduallowance.expat2" localSheetId="0">#REF!</definedName>
    <definedName name="eduallowance.expat2">#REF!</definedName>
    <definedName name="eduallowance.expat3" localSheetId="0">#REF!</definedName>
    <definedName name="eduallowance.expat3">#REF!</definedName>
    <definedName name="eduallowance.expat4" localSheetId="0">#REF!</definedName>
    <definedName name="eduallowance.expat4">#REF!</definedName>
    <definedName name="eduallowance.expat5" localSheetId="0">#REF!</definedName>
    <definedName name="eduallowance.expat5">#REF!</definedName>
    <definedName name="eduallowance.expat6" localSheetId="0">#REF!</definedName>
    <definedName name="eduallowance.expat6">#REF!</definedName>
    <definedName name="eduallowance.expat7" localSheetId="0">#REF!</definedName>
    <definedName name="eduallowance.expat7">#REF!</definedName>
    <definedName name="eduallowance.expat8" localSheetId="0">#REF!</definedName>
    <definedName name="eduallowance.expat8">#REF!</definedName>
    <definedName name="eduallowance.expat9" localSheetId="0">#REF!</definedName>
    <definedName name="eduallowance.expat9">#REF!</definedName>
    <definedName name="eduallowance.intlstaff2" localSheetId="0">#REF!</definedName>
    <definedName name="eduallowance.intlstaff2">#REF!</definedName>
    <definedName name="eduallowance.intlstaff3" localSheetId="0">#REF!</definedName>
    <definedName name="eduallowance.intlstaff3">#REF!</definedName>
    <definedName name="eduallowance.intlstaff4" localSheetId="0">#REF!</definedName>
    <definedName name="eduallowance.intlstaff4">#REF!</definedName>
    <definedName name="eduallowance.researcher" localSheetId="0">#REF!</definedName>
    <definedName name="eduallowance.researcher">#REF!</definedName>
    <definedName name="education.intlstaff1" localSheetId="0">#REF!</definedName>
    <definedName name="education.intlstaff1">#REF!</definedName>
    <definedName name="education.intlstaff10" localSheetId="0">#REF!</definedName>
    <definedName name="education.intlstaff10">#REF!</definedName>
    <definedName name="education.intlstaff11" localSheetId="0">#REF!</definedName>
    <definedName name="education.intlstaff11">#REF!</definedName>
    <definedName name="education.intlstaff12" localSheetId="0">#REF!</definedName>
    <definedName name="education.intlstaff12">#REF!</definedName>
    <definedName name="education.intlstaff13" localSheetId="0">#REF!</definedName>
    <definedName name="education.intlstaff13">#REF!</definedName>
    <definedName name="education.intlstaff14" localSheetId="0">#REF!</definedName>
    <definedName name="education.intlstaff14">#REF!</definedName>
    <definedName name="education.intlstaff15" localSheetId="0">#REF!</definedName>
    <definedName name="education.intlstaff15">#REF!</definedName>
    <definedName name="education.intlstaff2" localSheetId="0">#REF!</definedName>
    <definedName name="education.intlstaff2">#REF!</definedName>
    <definedName name="education.intlstaff3" localSheetId="0">#REF!</definedName>
    <definedName name="education.intlstaff3">#REF!</definedName>
    <definedName name="education.intlstaff4" localSheetId="0">#REF!</definedName>
    <definedName name="education.intlstaff4">#REF!</definedName>
    <definedName name="education.intlstaff5" localSheetId="0">#REF!</definedName>
    <definedName name="education.intlstaff5">#REF!</definedName>
    <definedName name="education.intlstaff6" localSheetId="0">#REF!</definedName>
    <definedName name="education.intlstaff6">#REF!</definedName>
    <definedName name="education.intlstaff7" localSheetId="0">#REF!</definedName>
    <definedName name="education.intlstaff7">#REF!</definedName>
    <definedName name="education.intlstaff8" localSheetId="0">#REF!</definedName>
    <definedName name="education.intlstaff8">#REF!</definedName>
    <definedName name="education.intlstaff9" localSheetId="0">#REF!</definedName>
    <definedName name="education.intlstaff9">#REF!</definedName>
    <definedName name="EMPTY">#REF!</definedName>
    <definedName name="end_date" localSheetId="0">#REF!</definedName>
    <definedName name="end_date">#REF!</definedName>
    <definedName name="end_period_1" localSheetId="0">#REF!</definedName>
    <definedName name="end_period_1">#REF!</definedName>
    <definedName name="end_period_10" localSheetId="0">#REF!</definedName>
    <definedName name="end_period_10">#REF!</definedName>
    <definedName name="end_period_2" localSheetId="0">#REF!</definedName>
    <definedName name="end_period_2">#REF!</definedName>
    <definedName name="end_period_3" localSheetId="0">#REF!</definedName>
    <definedName name="end_period_3">#REF!</definedName>
    <definedName name="end_period_4" localSheetId="0">#REF!</definedName>
    <definedName name="end_period_4">#REF!</definedName>
    <definedName name="end_period_5" localSheetId="0">#REF!</definedName>
    <definedName name="end_period_5">#REF!</definedName>
    <definedName name="end_period_6" localSheetId="0">#REF!</definedName>
    <definedName name="end_period_6">#REF!</definedName>
    <definedName name="end_period_7" localSheetId="0">#REF!</definedName>
    <definedName name="end_period_7">#REF!</definedName>
    <definedName name="end_period_8" localSheetId="0">#REF!</definedName>
    <definedName name="end_period_8">#REF!</definedName>
    <definedName name="end_period_9" localSheetId="0">#REF!</definedName>
    <definedName name="end_period_9">#REF!</definedName>
    <definedName name="er">#REF!</definedName>
    <definedName name="Eswatini_UN" localSheetId="0">#REF!</definedName>
    <definedName name="Eswatini_UN">#REF!</definedName>
    <definedName name="Exchange" localSheetId="0">#REF!</definedName>
    <definedName name="Exchange">#REF!</definedName>
    <definedName name="ExchangeRate" localSheetId="0">#REF!</definedName>
    <definedName name="ExchangeRate">#REF!</definedName>
    <definedName name="exo" localSheetId="0">#REF!</definedName>
    <definedName name="exo">#REF!</definedName>
    <definedName name="exp">#REF!</definedName>
    <definedName name="exp_adult_stock_col">#REF!</definedName>
    <definedName name="exp_adult_stock_col_range">#REF!</definedName>
    <definedName name="exp_adult_stock_row">#REF!</definedName>
    <definedName name="exp_peds_stock_col_range">#REF!</definedName>
    <definedName name="exphoriz_adult_stock_col">#REF!</definedName>
    <definedName name="exphoriz_adult_stock_row">#REF!</definedName>
    <definedName name="expstdt_adult_stock_col">#REF!</definedName>
    <definedName name="expstdt_adult_stock_row">#REF!</definedName>
    <definedName name="expstdtyn_adult_stock_col">#REF!</definedName>
    <definedName name="expstdtyn_adult_stock_row">#REF!</definedName>
    <definedName name="exptsnum_adult_in_col">#REF!</definedName>
    <definedName name="exptsnum_adult_in_row">#REF!</definedName>
    <definedName name="exptsnum_peds_in_col">#REF!</definedName>
    <definedName name="exptsnum_peds_in_row">#REF!</definedName>
    <definedName name="falg" localSheetId="0" hidden="1">{"Yr1",#N/A,FALSE,"Budget Detail";"Yr2",#N/A,FALSE,"Budget Detail";"Yr3",#N/A,FALSE,"Budget Detail";"Yr4",#N/A,FALSE,"Budget Detail";"Yr5",#N/A,FALSE,"Budget Detail";"Total",#N/A,FALSE,"Budget Detail"}</definedName>
    <definedName name="falg">{"Yr1",#N/A,FALSE,"Budget Detail";"Yr2",#N/A,FALSE,"Budget Detail";"Yr3",#N/A,FALSE,"Budget Detail";"Yr4",#N/A,FALSE,"Budget Detail";"Yr5",#N/A,FALSE,"Budget Detail";"Total",#N/A,FALSE,"Budget Detail"}</definedName>
    <definedName name="FAN" localSheetId="0">#REF!</definedName>
    <definedName name="FAN">#REF!</definedName>
    <definedName name="FBEN" localSheetId="0">#REF!</definedName>
    <definedName name="FBEN">#REF!</definedName>
    <definedName name="FBRN" localSheetId="0">#REF!</definedName>
    <definedName name="FBRN">#REF!</definedName>
    <definedName name="FCEN" localSheetId="0">#REF!</definedName>
    <definedName name="FCEN">#REF!</definedName>
    <definedName name="FCRN" localSheetId="0">#REF!</definedName>
    <definedName name="FCRN">#REF!</definedName>
    <definedName name="FDEN" localSheetId="0">#REF!</definedName>
    <definedName name="FDEN">#REF!</definedName>
    <definedName name="FDRN" localSheetId="0">#REF!</definedName>
    <definedName name="FDRN">#REF!</definedName>
    <definedName name="FebIndex" localSheetId="0">#REF!</definedName>
    <definedName name="FebIndex">#REF!</definedName>
    <definedName name="fexo" localSheetId="0">#REF!</definedName>
    <definedName name="fexo">#REF!</definedName>
    <definedName name="FGEN" localSheetId="0">#REF!</definedName>
    <definedName name="FGEN">#REF!</definedName>
    <definedName name="FGRN" localSheetId="0">#REF!</definedName>
    <definedName name="FGRN">#REF!</definedName>
    <definedName name="fien" localSheetId="0">#REF!</definedName>
    <definedName name="fien">#REF!</definedName>
    <definedName name="final" localSheetId="0">#REF!</definedName>
    <definedName name="final">#REF!</definedName>
    <definedName name="firn" localSheetId="0">#REF!</definedName>
    <definedName name="firn">#REF!</definedName>
    <definedName name="First" localSheetId="0">#REF!</definedName>
    <definedName name="First">#REF!</definedName>
    <definedName name="FixedFee" localSheetId="0">#REF!</definedName>
    <definedName name="FixedFee">#REF!</definedName>
    <definedName name="fjen" localSheetId="0">#REF!</definedName>
    <definedName name="fjen">#REF!</definedName>
    <definedName name="fken" localSheetId="0">#REF!</definedName>
    <definedName name="fken">#REF!</definedName>
    <definedName name="fkrn" localSheetId="0">#REF!</definedName>
    <definedName name="fkrn">#REF!</definedName>
    <definedName name="flag" localSheetId="0" hidden="1">{"Yr1",#N/A,FALSE,"Budget Detail";"Yr2",#N/A,FALSE,"Budget Detail";"Yr3",#N/A,FALSE,"Budget Detail";"Yr4",#N/A,FALSE,"Budget Detail";"Yr5",#N/A,FALSE,"Budget Detail";"Total",#N/A,FALSE,"Budget Detail"}</definedName>
    <definedName name="flag">{"Yr1",#N/A,FALSE,"Budget Detail";"Yr2",#N/A,FALSE,"Budget Detail";"Yr3",#N/A,FALSE,"Budget Detail";"Yr4",#N/A,FALSE,"Budget Detail";"Yr5",#N/A,FALSE,"Budget Detail";"Total",#N/A,FALSE,"Budget Detail"}</definedName>
    <definedName name="flen" localSheetId="0">#REF!</definedName>
    <definedName name="flen">#REF!</definedName>
    <definedName name="Flexibility" localSheetId="0">#REF!</definedName>
    <definedName name="Flexibility">#REF!</definedName>
    <definedName name="flrn" localSheetId="0">#REF!</definedName>
    <definedName name="flrn">#REF!</definedName>
    <definedName name="fmrn" localSheetId="0">#REF!</definedName>
    <definedName name="fmrn">#REF!</definedName>
    <definedName name="fnrn" localSheetId="0">#REF!</definedName>
    <definedName name="fnrn">#REF!</definedName>
    <definedName name="fobplus" localSheetId="0">#REF!</definedName>
    <definedName name="fobplus">#REF!</definedName>
    <definedName name="Forecast">#REF!</definedName>
    <definedName name="foreigntransferallowance" localSheetId="0">#REF!</definedName>
    <definedName name="foreigntransferallowance">#REF!</definedName>
    <definedName name="fpen" localSheetId="0">#REF!</definedName>
    <definedName name="fpen">#REF!</definedName>
    <definedName name="fqen" localSheetId="0">#REF!</definedName>
    <definedName name="fqen">#REF!</definedName>
    <definedName name="fqrn" localSheetId="0">#REF!</definedName>
    <definedName name="fqrn">#REF!</definedName>
    <definedName name="fren" localSheetId="0">#REF!</definedName>
    <definedName name="fren">#REF!</definedName>
    <definedName name="fringetype" localSheetId="0">OFFSET(#REF!,0,0,COUNTA(#REF!),1)</definedName>
    <definedName name="fringetype">OFFSET(#REF!,0,0,COUNTA(#REF!),1)</definedName>
    <definedName name="frrn" localSheetId="0">#REF!</definedName>
    <definedName name="frrn">#REF!</definedName>
    <definedName name="fsen" localSheetId="0">#REF!</definedName>
    <definedName name="fsen">#REF!</definedName>
    <definedName name="fsrn" localSheetId="0">#REF!</definedName>
    <definedName name="fsrn">#REF!</definedName>
    <definedName name="ften" localSheetId="0">#REF!</definedName>
    <definedName name="ften">#REF!</definedName>
    <definedName name="FTEs">#REF!</definedName>
    <definedName name="fu" localSheetId="0">#REF!</definedName>
    <definedName name="fu">#REF!</definedName>
    <definedName name="FuelCost" localSheetId="0">#REF!</definedName>
    <definedName name="FuelCost">#REF!</definedName>
    <definedName name="Fund" localSheetId="0">OFFSET(#REF!,0,0,COUNTA(#REF!),1)</definedName>
    <definedName name="Fund">OFFSET(#REF!,0,0,COUNTA(#REF!),1)</definedName>
    <definedName name="fund_range" localSheetId="0">#REF!</definedName>
    <definedName name="fund_range">#REF!</definedName>
    <definedName name="Funding_Sources" localSheetId="0">#REF!</definedName>
    <definedName name="Funding_Sources">#REF!</definedName>
    <definedName name="Funding_Status">#REF!</definedName>
    <definedName name="Funding2" localSheetId="0">#REF!</definedName>
    <definedName name="Funding2">#REF!</definedName>
    <definedName name="fundlist3" localSheetId="0">#REF!</definedName>
    <definedName name="fundlist3">#REF!</definedName>
    <definedName name="fundrange" localSheetId="0">#REF!</definedName>
    <definedName name="fundrange">#REF!</definedName>
    <definedName name="fundrange2" localSheetId="0">#REF!</definedName>
    <definedName name="fundrange2">#REF!</definedName>
    <definedName name="FundsSent">#REF!</definedName>
    <definedName name="Furniture">#REF!</definedName>
    <definedName name="Future_ProjectYear">#REF!</definedName>
    <definedName name="fv" localSheetId="0">#REF!</definedName>
    <definedName name="fv">#REF!</definedName>
    <definedName name="FW" localSheetId="0">#REF!</definedName>
    <definedName name="FW">#REF!</definedName>
    <definedName name="fwe" localSheetId="0">#REF!</definedName>
    <definedName name="fwe">#REF!</definedName>
    <definedName name="fwr" localSheetId="0">#REF!</definedName>
    <definedName name="fwr">#REF!</definedName>
    <definedName name="FX_Rate" localSheetId="0">#REF!</definedName>
    <definedName name="FX_Rate">#REF!</definedName>
    <definedName name="fxrate" localSheetId="0">#REF!</definedName>
    <definedName name="fxrate">#REF!</definedName>
    <definedName name="FY">#REF!</definedName>
    <definedName name="FYB" localSheetId="0">#REF!</definedName>
    <definedName name="FYB">#REF!</definedName>
    <definedName name="GHS">#REF!</definedName>
    <definedName name="Grant" localSheetId="0">#REF!</definedName>
    <definedName name="Grant">#REF!</definedName>
    <definedName name="Grant_Status">#REF!</definedName>
    <definedName name="Grant_Type">#REF!</definedName>
    <definedName name="HCN_Staff">#REF!</definedName>
    <definedName name="Header1">IF(COUNTA(#REF!)=0,0,INDEX(#REF!,MATCH(ROW(#REF!),#REF!,TRUE)))+1</definedName>
    <definedName name="Header2" localSheetId="0" hidden="1">#REF!-1 &amp; "." &amp; MAX(1,COUNTA(INDEX(#REF!,MATCH(#REF!-1,#REF!,FALSE)):#REF!))</definedName>
    <definedName name="Header2">#REF!-1 &amp; "." &amp; MAX(1,COUNTA(INDEX(#REF!,MATCH(#REF!-1,#REF!,FALSE)):#REF!))</definedName>
    <definedName name="HealthCommodities">#REF!</definedName>
    <definedName name="Historical" localSheetId="0">#REF!</definedName>
    <definedName name="Historical">#REF!</definedName>
    <definedName name="HIV">#REF!</definedName>
    <definedName name="House40">#REF!</definedName>
    <definedName name="House40EER">#REF!</definedName>
    <definedName name="House40EERold">#REF!</definedName>
    <definedName name="House40old">#REF!</definedName>
    <definedName name="House44">#REF!</definedName>
    <definedName name="House44EER">#REF!</definedName>
    <definedName name="House44EERold">#REF!</definedName>
    <definedName name="House44old">#REF!</definedName>
    <definedName name="HSS">#REF!</definedName>
    <definedName name="HTML_Control" localSheetId="0">{"'Sheet1'!$A$1:$O$32"}</definedName>
    <definedName name="HTML_Control">{"'Sheet1'!$A$1:$O$32"}</definedName>
    <definedName name="ICR_Admin" localSheetId="0">#REF!</definedName>
    <definedName name="ICR_Admin">#REF!</definedName>
    <definedName name="ICR_procurement" localSheetId="0">#REF!</definedName>
    <definedName name="ICR_procurement">#REF!</definedName>
    <definedName name="ICR_Sub" localSheetId="0">#REF!</definedName>
    <definedName name="ICR_Sub">#REF!</definedName>
    <definedName name="ID">#REF!</definedName>
    <definedName name="IDC_primary" localSheetId="0">#REF!</definedName>
    <definedName name="IDC_primary">#REF!</definedName>
    <definedName name="IDC_sub" localSheetId="0">#REF!</definedName>
    <definedName name="IDC_sub">#REF!</definedName>
    <definedName name="IDS" localSheetId="0">#REF!</definedName>
    <definedName name="IDS">#REF!</definedName>
    <definedName name="imf" localSheetId="0">#REF!</definedName>
    <definedName name="imf">#REF!</definedName>
    <definedName name="Income_Alloc">#REF!</definedName>
    <definedName name="Income_Matrix">#REF!</definedName>
    <definedName name="Income_Tab_GIDs">#REF!</definedName>
    <definedName name="Incoterm" localSheetId="0">#REF!</definedName>
    <definedName name="Incoterm">#REF!</definedName>
    <definedName name="IncountrySupportCosts">#REF!</definedName>
    <definedName name="Indirect">#REF!</definedName>
    <definedName name="IndirectStaffCosts">#REF!</definedName>
    <definedName name="InitialSetup">#REF!</definedName>
    <definedName name="Intlfringe" localSheetId="0">#REF!</definedName>
    <definedName name="Intlfringe">#REF!</definedName>
    <definedName name="IPMA" localSheetId="0">#REF!</definedName>
    <definedName name="IPMA">#REF!</definedName>
    <definedName name="JanIndex" localSheetId="0">#REF!</definedName>
    <definedName name="JanIndex">#REF!</definedName>
    <definedName name="JanuaryA" localSheetId="0">#REF!</definedName>
    <definedName name="JanuaryA">#REF!</definedName>
    <definedName name="JanuaryB" localSheetId="0">#REF!</definedName>
    <definedName name="JanuaryB">#REF!</definedName>
    <definedName name="JJJJJJJJJJJJJJJJJJJJJJJJJJJJJJJJ">#REF!</definedName>
    <definedName name="jul">#REF!</definedName>
    <definedName name="JulIndex" localSheetId="0">#REF!</definedName>
    <definedName name="JulIndex">#REF!</definedName>
    <definedName name="jun">#REF!</definedName>
    <definedName name="JunIndex" localSheetId="0">#REF!</definedName>
    <definedName name="JunIndex">#REF!</definedName>
    <definedName name="Kenya_UN" localSheetId="0">#REF!</definedName>
    <definedName name="Kenya_UN">#REF!</definedName>
    <definedName name="LAB_TYPE">#REF!</definedName>
    <definedName name="lak">#REF!</definedName>
    <definedName name="lalkdf">#REF!</definedName>
    <definedName name="Last" localSheetId="0">#REF!</definedName>
    <definedName name="Last">#REF!</definedName>
    <definedName name="LawsonColumn" localSheetId="0">#REF!</definedName>
    <definedName name="LawsonColumn">#REF!</definedName>
    <definedName name="LawsonList" localSheetId="0">#REF!</definedName>
    <definedName name="LawsonList">#REF!</definedName>
    <definedName name="LawsonStart" localSheetId="0">#REF!</definedName>
    <definedName name="LawsonStart">#REF!</definedName>
    <definedName name="LawsonUploadNIGaccount">#REF!</definedName>
    <definedName name="LawsonUploadNIGamount">#REF!</definedName>
    <definedName name="LawsonUploadNIGSMCaccount">#REF!</definedName>
    <definedName name="LawsonUploadNIGSMCamount">#REF!</definedName>
    <definedName name="LCU" localSheetId="0">#REF!</definedName>
    <definedName name="LCU">#REF!</definedName>
    <definedName name="Legend">#REF!</definedName>
    <definedName name="Lesotho_UN" localSheetId="0">#REF!</definedName>
    <definedName name="Lesotho_UN">#REF!</definedName>
    <definedName name="LevelList" localSheetId="0">#REF!</definedName>
    <definedName name="LevelList">#REF!</definedName>
    <definedName name="List">#REF!</definedName>
    <definedName name="List_Activities" localSheetId="0">#REF!</definedName>
    <definedName name="List_Activities">#REF!</definedName>
    <definedName name="List_ExpenseType" localSheetId="0">#REF!</definedName>
    <definedName name="List_ExpenseType">#REF!</definedName>
    <definedName name="List_Objectives" localSheetId="0">#REF!</definedName>
    <definedName name="List_Objectives">#REF!</definedName>
    <definedName name="ListofPrograms" localSheetId="0">#REF!</definedName>
    <definedName name="ListofPrograms">#REF!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Currency" localSheetId="0">#REF!</definedName>
    <definedName name="LocalCurrency">#REF!</definedName>
    <definedName name="localfringe" localSheetId="0">#REF!</definedName>
    <definedName name="localfringe">#REF!</definedName>
    <definedName name="localinflation_yr2" localSheetId="0">#REF!</definedName>
    <definedName name="localinflation_yr2">#REF!</definedName>
    <definedName name="localinflation_yr3" localSheetId="0">#REF!</definedName>
    <definedName name="localinflation_yr3">#REF!</definedName>
    <definedName name="localinflation_yr4" localSheetId="0">#REF!</definedName>
    <definedName name="localinflation_yr4">#REF!</definedName>
    <definedName name="localinflation_yr5" localSheetId="0">#REF!</definedName>
    <definedName name="localinflation_yr5">#REF!</definedName>
    <definedName name="Logistics">#REF!</definedName>
    <definedName name="lstSSISRollupProduct">#REF!</definedName>
    <definedName name="lstVariance" localSheetId="0">#REF!</definedName>
    <definedName name="lstVariance">#REF!</definedName>
    <definedName name="Lvl1Hdr" localSheetId="0">#REF!</definedName>
    <definedName name="Lvl1Hdr">#REF!</definedName>
    <definedName name="Lvl2Hdr" localSheetId="0">#REF!</definedName>
    <definedName name="Lvl2Hdr">#REF!</definedName>
    <definedName name="Lvl3Hdr" localSheetId="0">#REF!</definedName>
    <definedName name="Lvl3Hdr">#REF!</definedName>
    <definedName name="Lvl4Hdr" localSheetId="0">#REF!</definedName>
    <definedName name="Lvl4Hdr">#REF!</definedName>
    <definedName name="LvlBottomHdr" localSheetId="0">#REF!</definedName>
    <definedName name="LvlBottomHdr">#REF!</definedName>
    <definedName name="LvlTopHdr" localSheetId="0">#REF!</definedName>
    <definedName name="LvlTopHdr">#REF!</definedName>
    <definedName name="machingatoLL" localSheetId="0">#REF!</definedName>
    <definedName name="machingatoLL">#REF!</definedName>
    <definedName name="Mada_UN" localSheetId="0">#REF!</definedName>
    <definedName name="Mada_UN">#REF!</definedName>
    <definedName name="MAL">#REF!</definedName>
    <definedName name="Malawi_UN" localSheetId="0">#REF!</definedName>
    <definedName name="Malawi_UN">#REF!</definedName>
    <definedName name="MarIndex" localSheetId="0">#REF!</definedName>
    <definedName name="MarIndex">#REF!</definedName>
    <definedName name="Marketing">#REF!</definedName>
    <definedName name="mats">#REF!</definedName>
    <definedName name="may">#REF!</definedName>
    <definedName name="MayIndex" localSheetId="0">#REF!</definedName>
    <definedName name="MayIndex">#REF!</definedName>
    <definedName name="MB40EER">#REF!</definedName>
    <definedName name="MB40EERold">#REF!</definedName>
    <definedName name="MB40old">#REF!</definedName>
    <definedName name="MB44EER">#REF!</definedName>
    <definedName name="MB44EERold">#REF!</definedName>
    <definedName name="MB44old">#REF!</definedName>
    <definedName name="MBP" localSheetId="0">#REF!</definedName>
    <definedName name="MBP">#REF!</definedName>
    <definedName name="mc">#REF!</definedName>
    <definedName name="MCH">#REF!</definedName>
    <definedName name="md">#REF!</definedName>
    <definedName name="Meals40">#REF!</definedName>
    <definedName name="Meals40EER">#REF!</definedName>
    <definedName name="Meals40EERold">#REF!</definedName>
    <definedName name="Meals40old">#REF!</definedName>
    <definedName name="Meals44">#REF!</definedName>
    <definedName name="Meals44EER">#REF!</definedName>
    <definedName name="Meals44EERold">#REF!</definedName>
    <definedName name="Meals44old">#REF!</definedName>
    <definedName name="medevac" localSheetId="0">#REF!</definedName>
    <definedName name="medevac">#REF!</definedName>
    <definedName name="MEDSEEE">#REF!</definedName>
    <definedName name="meetcost">#REF!+#REF!</definedName>
    <definedName name="MEP">#REF!</definedName>
    <definedName name="MHR" localSheetId="0">#REF!</definedName>
    <definedName name="MHR">#REF!</definedName>
    <definedName name="MNMNAM15" localSheetId="0">#REF!</definedName>
    <definedName name="MNMNAM15">#REF!</definedName>
    <definedName name="molecules" localSheetId="0">#REF!</definedName>
    <definedName name="molecules">#REF!</definedName>
    <definedName name="month">#REF!</definedName>
    <definedName name="Month_List" localSheetId="0">#REF!</definedName>
    <definedName name="Month_List">#REF!</definedName>
    <definedName name="MonthIndex" localSheetId="0">#REF!</definedName>
    <definedName name="MonthIndex">#REF!</definedName>
    <definedName name="Moz_UN" localSheetId="0">#REF!</definedName>
    <definedName name="Moz_UN">#REF!</definedName>
    <definedName name="multiple_funders" localSheetId="0">#REF!</definedName>
    <definedName name="multiple_funders">#REF!</definedName>
    <definedName name="multiple_outcomes" localSheetId="0">#REF!</definedName>
    <definedName name="multiple_outcomes">#REF!</definedName>
    <definedName name="Myanmar_UN" localSheetId="0">#REF!</definedName>
    <definedName name="Myanmar_UN">#REF!</definedName>
    <definedName name="MyList">#REF!</definedName>
    <definedName name="mzimbaNtoLL" localSheetId="0">#REF!</definedName>
    <definedName name="mzimbaNtoLL">#REF!</definedName>
    <definedName name="NAFA">#REF!</definedName>
    <definedName name="name" localSheetId="0">#REF!</definedName>
    <definedName name="name">#REF!</definedName>
    <definedName name="names">#REF!</definedName>
    <definedName name="NewHC" localSheetId="0">#REF!</definedName>
    <definedName name="NewHC">#REF!</definedName>
    <definedName name="NICRA_Sub" localSheetId="0" hidden="1">#REF!</definedName>
    <definedName name="NICRA_Sub">#REF!</definedName>
    <definedName name="Nigeria_UN" localSheetId="0">#REF!</definedName>
    <definedName name="Nigeria_UN">#REF!</definedName>
    <definedName name="nmois" localSheetId="0">#REF!</definedName>
    <definedName name="nmois">#REF!</definedName>
    <definedName name="NN">#REF!</definedName>
    <definedName name="No" localSheetId="0">#REF!</definedName>
    <definedName name="No">#REF!</definedName>
    <definedName name="NoAddtl.Dim" localSheetId="0">#REF!</definedName>
    <definedName name="NoAddtl.Dim">#REF!</definedName>
    <definedName name="NoDim" localSheetId="0">#REF!</definedName>
    <definedName name="NoDim">#REF!</definedName>
    <definedName name="Not_Contracted">#REF!</definedName>
    <definedName name="nov">#REF!</definedName>
    <definedName name="NovIndex" localSheetId="0">#REF!</definedName>
    <definedName name="NovIndex">#REF!</definedName>
    <definedName name="oct">#REF!</definedName>
    <definedName name="OctIndex" localSheetId="0">#REF!</definedName>
    <definedName name="OctIndex">#REF!</definedName>
    <definedName name="ODCs" localSheetId="0">#REF!</definedName>
    <definedName name="ODCs">#REF!</definedName>
    <definedName name="OnTrack">#REF!</definedName>
    <definedName name="OperatingCosts">#REF!</definedName>
    <definedName name="org_name" localSheetId="0">#REF!</definedName>
    <definedName name="org_name">#REF!</definedName>
    <definedName name="orgrange" localSheetId="0">#REF!</definedName>
    <definedName name="orgrange">#REF!</definedName>
    <definedName name="OTH">#REF!</definedName>
    <definedName name="OtherThanProcurement">#REF!</definedName>
    <definedName name="Outcome_Output_List" localSheetId="0">#REF!:INDEX(#REF!,COUNTA(#REF!),1)</definedName>
    <definedName name="Outcome_Output_List">#REF!:INDEX(#REF!,COUNTA(#REF!),1)</definedName>
    <definedName name="Outcomes" localSheetId="0">#REF!</definedName>
    <definedName name="Outcomes">#REF!</definedName>
    <definedName name="OutcomesPlus" localSheetId="0">#REF!</definedName>
    <definedName name="OutcomesPlus">#REF!</definedName>
    <definedName name="Output" localSheetId="0">#REF!</definedName>
    <definedName name="Output">#REF!</definedName>
    <definedName name="Outputs" localSheetId="0">#REF!</definedName>
    <definedName name="Outputs">#REF!</definedName>
    <definedName name="OVH">#REF!</definedName>
    <definedName name="p" localSheetId="0">#REF!</definedName>
    <definedName name="p">#REF!</definedName>
    <definedName name="P1_months" localSheetId="0">#REF!</definedName>
    <definedName name="P1_months">#REF!</definedName>
    <definedName name="P2_months" localSheetId="0">#REF!</definedName>
    <definedName name="P2_months">#REF!</definedName>
    <definedName name="PA_Fee_Rate" localSheetId="0">#REF!</definedName>
    <definedName name="PA_Fee_Rate">#REF!</definedName>
    <definedName name="Packaging">#REF!</definedName>
    <definedName name="PAnew" localSheetId="0">#REF!</definedName>
    <definedName name="PAnew">#REF!</definedName>
    <definedName name="partairfare">#REF!</definedName>
    <definedName name="partground">#REF!</definedName>
    <definedName name="partlodg">#REF!</definedName>
    <definedName name="partmeals">#REF!</definedName>
    <definedName name="parttransp">#REF!</definedName>
    <definedName name="PayCalc">#REF!</definedName>
    <definedName name="PayCalc2">#REF!</definedName>
    <definedName name="PayCalc3">#REF!</definedName>
    <definedName name="PayCalc4">#REF!</definedName>
    <definedName name="PCAI" localSheetId="0">#REF!</definedName>
    <definedName name="PCAI">#REF!</definedName>
    <definedName name="pcr_enfant" localSheetId="0">#REF!</definedName>
    <definedName name="pcr_enfant">#REF!</definedName>
    <definedName name="peds2010" localSheetId="0">#REF!</definedName>
    <definedName name="peds2010">#REF!</definedName>
    <definedName name="period_begin" localSheetId="0">#REF!</definedName>
    <definedName name="period_begin">#REF!</definedName>
    <definedName name="period_end" localSheetId="0">#REF!</definedName>
    <definedName name="period_end">#REF!</definedName>
    <definedName name="periodbegin" localSheetId="0">#REF!</definedName>
    <definedName name="periodbegin">#REF!</definedName>
    <definedName name="periodend" localSheetId="0">#REF!</definedName>
    <definedName name="periodend">#REF!</definedName>
    <definedName name="PFE" localSheetId="0">#REF!</definedName>
    <definedName name="PFE">#REF!</definedName>
    <definedName name="phalombetoLL" localSheetId="0">#REF!</definedName>
    <definedName name="phalombetoLL">#REF!</definedName>
    <definedName name="Pharmaceutical_products" localSheetId="0">#REF!</definedName>
    <definedName name="Pharmaceutical_products">#REF!</definedName>
    <definedName name="Phase1" localSheetId="0">#REF!</definedName>
    <definedName name="Phase1">#REF!</definedName>
    <definedName name="pig" localSheetId="0" hidden="1">{"Yr1",#N/A,FALSE,"Budget Detail";"Yr2",#N/A,FALSE,"Budget Detail";"Yr3",#N/A,FALSE,"Budget Detail";"Yr4",#N/A,FALSE,"Budget Detail";"Yr5",#N/A,FALSE,"Budget Detail";"Total",#N/A,FALSE,"Budget Detail"}</definedName>
    <definedName name="pig">{"Yr1",#N/A,FALSE,"Budget Detail";"Yr2",#N/A,FALSE,"Budget Detail";"Yr3",#N/A,FALSE,"Budget Detail";"Yr4",#N/A,FALSE,"Budget Detail";"Yr5",#N/A,FALSE,"Budget Detail";"Total",#N/A,FALSE,"Budget Detail"}</definedName>
    <definedName name="PIHBudget" localSheetId="0">#REF!</definedName>
    <definedName name="PIHBudget">#REF!</definedName>
    <definedName name="position" localSheetId="0">#REF!</definedName>
    <definedName name="position">#REF!</definedName>
    <definedName name="postallowance" localSheetId="0">#REF!</definedName>
    <definedName name="postallowance">#REF!</definedName>
    <definedName name="postallowance.expat1" localSheetId="0">#REF!</definedName>
    <definedName name="postallowance.expat1">#REF!</definedName>
    <definedName name="postallowance.expat10" localSheetId="0">#REF!</definedName>
    <definedName name="postallowance.expat10">#REF!</definedName>
    <definedName name="postallowance.expat11" localSheetId="0">#REF!</definedName>
    <definedName name="postallowance.expat11">#REF!</definedName>
    <definedName name="postallowance.expat12" localSheetId="0">#REF!</definedName>
    <definedName name="postallowance.expat12">#REF!</definedName>
    <definedName name="postallowance.expat2" localSheetId="0">#REF!</definedName>
    <definedName name="postallowance.expat2">#REF!</definedName>
    <definedName name="postallowance.expat3" localSheetId="0">#REF!</definedName>
    <definedName name="postallowance.expat3">#REF!</definedName>
    <definedName name="postallowance.expat4" localSheetId="0">#REF!</definedName>
    <definedName name="postallowance.expat4">#REF!</definedName>
    <definedName name="postallowance.expat5" localSheetId="0">#REF!</definedName>
    <definedName name="postallowance.expat5">#REF!</definedName>
    <definedName name="postallowance.expat6" localSheetId="0">#REF!</definedName>
    <definedName name="postallowance.expat6">#REF!</definedName>
    <definedName name="postallowance.expat7" localSheetId="0">#REF!</definedName>
    <definedName name="postallowance.expat7">#REF!</definedName>
    <definedName name="postallowance.expat8" localSheetId="0">#REF!</definedName>
    <definedName name="postallowance.expat8">#REF!</definedName>
    <definedName name="postallowance.expat9" localSheetId="0">#REF!</definedName>
    <definedName name="postallowance.expat9">#REF!</definedName>
    <definedName name="postallowance.intlstaff1" localSheetId="0">#REF!</definedName>
    <definedName name="postallowance.intlstaff1">#REF!</definedName>
    <definedName name="postallowance.intlstaff10" localSheetId="0">#REF!</definedName>
    <definedName name="postallowance.intlstaff10">#REF!</definedName>
    <definedName name="postallowance.intlstaff11" localSheetId="0">#REF!</definedName>
    <definedName name="postallowance.intlstaff11">#REF!</definedName>
    <definedName name="postallowance.intlstaff12" localSheetId="0">#REF!</definedName>
    <definedName name="postallowance.intlstaff12">#REF!</definedName>
    <definedName name="postallowance.intlstaff13" localSheetId="0">#REF!</definedName>
    <definedName name="postallowance.intlstaff13">#REF!</definedName>
    <definedName name="postallowance.intlstaff14" localSheetId="0">#REF!</definedName>
    <definedName name="postallowance.intlstaff14">#REF!</definedName>
    <definedName name="postallowance.intlstaff15" localSheetId="0">#REF!</definedName>
    <definedName name="postallowance.intlstaff15">#REF!</definedName>
    <definedName name="postallowance.intlstaff2" localSheetId="0">#REF!</definedName>
    <definedName name="postallowance.intlstaff2">#REF!</definedName>
    <definedName name="postallowance.intlstaff3" localSheetId="0">#REF!</definedName>
    <definedName name="postallowance.intlstaff3">#REF!</definedName>
    <definedName name="postallowance.intlstaff4" localSheetId="0">#REF!</definedName>
    <definedName name="postallowance.intlstaff4">#REF!</definedName>
    <definedName name="postallowance.intlstaff5" localSheetId="0">#REF!</definedName>
    <definedName name="postallowance.intlstaff5">#REF!</definedName>
    <definedName name="postallowance.intlstaff6" localSheetId="0">#REF!</definedName>
    <definedName name="postallowance.intlstaff6">#REF!</definedName>
    <definedName name="postallowance.intlstaff7" localSheetId="0">#REF!</definedName>
    <definedName name="postallowance.intlstaff7">#REF!</definedName>
    <definedName name="postallowance.intlstaff8" localSheetId="0">#REF!</definedName>
    <definedName name="postallowance.intlstaff8">#REF!</definedName>
    <definedName name="postallowance.intlstaff9" localSheetId="0">#REF!</definedName>
    <definedName name="postallowance.intlstaff9">#REF!</definedName>
    <definedName name="postallowance.researcher" localSheetId="0">#REF!</definedName>
    <definedName name="postallowance.researcher">#REF!</definedName>
    <definedName name="postdifferential" localSheetId="0">#REF!</definedName>
    <definedName name="postdifferential">#REF!</definedName>
    <definedName name="postdifferential.expat1" localSheetId="0">#REF!</definedName>
    <definedName name="postdifferential.expat1">#REF!</definedName>
    <definedName name="postdifferential.expat10" localSheetId="0">#REF!</definedName>
    <definedName name="postdifferential.expat10">#REF!</definedName>
    <definedName name="postdifferential.expat11" localSheetId="0">#REF!</definedName>
    <definedName name="postdifferential.expat11">#REF!</definedName>
    <definedName name="postdifferential.expat12" localSheetId="0">#REF!</definedName>
    <definedName name="postdifferential.expat12">#REF!</definedName>
    <definedName name="postdifferential.expat2" localSheetId="0">#REF!</definedName>
    <definedName name="postdifferential.expat2">#REF!</definedName>
    <definedName name="postdifferential.expat3" localSheetId="0">#REF!</definedName>
    <definedName name="postdifferential.expat3">#REF!</definedName>
    <definedName name="postdifferential.expat4" localSheetId="0">#REF!</definedName>
    <definedName name="postdifferential.expat4">#REF!</definedName>
    <definedName name="postdifferential.expat5" localSheetId="0">#REF!</definedName>
    <definedName name="postdifferential.expat5">#REF!</definedName>
    <definedName name="postdifferential.expat6" localSheetId="0">#REF!</definedName>
    <definedName name="postdifferential.expat6">#REF!</definedName>
    <definedName name="postdifferential.expat7" localSheetId="0">#REF!</definedName>
    <definedName name="postdifferential.expat7">#REF!</definedName>
    <definedName name="postdifferential.expat8" localSheetId="0">#REF!</definedName>
    <definedName name="postdifferential.expat8">#REF!</definedName>
    <definedName name="postdifferential.expat9" localSheetId="0">#REF!</definedName>
    <definedName name="postdifferential.expat9">#REF!</definedName>
    <definedName name="postdifferential.intlstaff1" localSheetId="0">#REF!</definedName>
    <definedName name="postdifferential.intlstaff1">#REF!</definedName>
    <definedName name="postdifferential.intlstaff10" localSheetId="0">#REF!</definedName>
    <definedName name="postdifferential.intlstaff10">#REF!</definedName>
    <definedName name="postdifferential.intlstaff11" localSheetId="0">#REF!</definedName>
    <definedName name="postdifferential.intlstaff11">#REF!</definedName>
    <definedName name="postdifferential.intlstaff12" localSheetId="0">#REF!</definedName>
    <definedName name="postdifferential.intlstaff12">#REF!</definedName>
    <definedName name="postdifferential.intlstaff13" localSheetId="0">#REF!</definedName>
    <definedName name="postdifferential.intlstaff13">#REF!</definedName>
    <definedName name="postdifferential.intlstaff14" localSheetId="0">#REF!</definedName>
    <definedName name="postdifferential.intlstaff14">#REF!</definedName>
    <definedName name="postdifferential.intlstaff15" localSheetId="0">#REF!</definedName>
    <definedName name="postdifferential.intlstaff15">#REF!</definedName>
    <definedName name="postdifferential.intlstaff2" localSheetId="0">#REF!</definedName>
    <definedName name="postdifferential.intlstaff2">#REF!</definedName>
    <definedName name="postdifferential.intlstaff3" localSheetId="0">#REF!</definedName>
    <definedName name="postdifferential.intlstaff3">#REF!</definedName>
    <definedName name="postdifferential.intlstaff4" localSheetId="0">#REF!</definedName>
    <definedName name="postdifferential.intlstaff4">#REF!</definedName>
    <definedName name="postdifferential.intlstaff5" localSheetId="0">#REF!</definedName>
    <definedName name="postdifferential.intlstaff5">#REF!</definedName>
    <definedName name="postdifferential.intlstaff6" localSheetId="0">#REF!</definedName>
    <definedName name="postdifferential.intlstaff6">#REF!</definedName>
    <definedName name="postdifferential.intlstaff7" localSheetId="0">#REF!</definedName>
    <definedName name="postdifferential.intlstaff7">#REF!</definedName>
    <definedName name="postdifferential.intlstaff8" localSheetId="0">#REF!</definedName>
    <definedName name="postdifferential.intlstaff8">#REF!</definedName>
    <definedName name="postdifferential.intlstaff9" localSheetId="0">#REF!</definedName>
    <definedName name="postdifferential.intlstaff9">#REF!</definedName>
    <definedName name="postdifferential.researcher" localSheetId="0">#REF!</definedName>
    <definedName name="postdifferential.researcher">#REF!</definedName>
    <definedName name="ppr_adult_col">#REF!</definedName>
    <definedName name="ppr_adult_col_range">#REF!</definedName>
    <definedName name="ppr_adult_row">#REF!</definedName>
    <definedName name="Pre_ProjectYear">#REF!</definedName>
    <definedName name="print">#REF!</definedName>
    <definedName name="PrintCost" localSheetId="0">#REF!</definedName>
    <definedName name="PrintCost">#REF!</definedName>
    <definedName name="Procurement" localSheetId="0">#REF!</definedName>
    <definedName name="Procurement">#REF!</definedName>
    <definedName name="Procurementfee" localSheetId="0">#REF!</definedName>
    <definedName name="Procurementfee">#REF!</definedName>
    <definedName name="Product">#REF!</definedName>
    <definedName name="Program">#REF!</definedName>
    <definedName name="Program_Cluster" localSheetId="0">#REF!</definedName>
    <definedName name="Program_Cluster">#REF!</definedName>
    <definedName name="ProgramList" localSheetId="0">#REF!</definedName>
    <definedName name="ProgramList">#REF!</definedName>
    <definedName name="Programs" localSheetId="0">#REF!</definedName>
    <definedName name="Programs">#REF!</definedName>
    <definedName name="ProgramsList" localSheetId="0">#REF!</definedName>
    <definedName name="ProgramsList">#REF!</definedName>
    <definedName name="ProgramTargets" localSheetId="0">#REF!</definedName>
    <definedName name="ProgramTargets">#REF!</definedName>
    <definedName name="ProjAlloc" localSheetId="0">#REF!</definedName>
    <definedName name="ProjAlloc">#REF!</definedName>
    <definedName name="Project">#REF!</definedName>
    <definedName name="Project_Category" localSheetId="0">#REF!</definedName>
    <definedName name="Project_Category">#REF!</definedName>
    <definedName name="ProjectOption">#REF!</definedName>
    <definedName name="proph_arv_2" localSheetId="0">#REF!</definedName>
    <definedName name="proph_arv_2">#REF!</definedName>
    <definedName name="proph_cotrim_dp" localSheetId="0">#REF!</definedName>
    <definedName name="proph_cotrim_dp">#REF!</definedName>
    <definedName name="proph_cotrim_nodp" localSheetId="0">#REF!</definedName>
    <definedName name="proph_cotrim_nodp">#REF!</definedName>
    <definedName name="PSIw_Staff">#REF!</definedName>
    <definedName name="purpose" localSheetId="0">#REF!</definedName>
    <definedName name="purpose">#REF!</definedName>
    <definedName name="q">#REF!</definedName>
    <definedName name="qqqqqqqqqqqqqqqqq" localSheetId="0">#REF!</definedName>
    <definedName name="qqqqqqqqqqqqqqqqq">#REF!</definedName>
    <definedName name="quart_num_in_col">#REF!</definedName>
    <definedName name="quart_num_in_row">#REF!</definedName>
    <definedName name="Quarters" localSheetId="0">#REF!</definedName>
    <definedName name="Quarters">#REF!</definedName>
    <definedName name="QuartersYR1" localSheetId="0">#REF!</definedName>
    <definedName name="QuartersYR1">#REF!</definedName>
    <definedName name="QuartersYR2" localSheetId="0">#REF!</definedName>
    <definedName name="QuartersYR2">#REF!</definedName>
    <definedName name="RAN" localSheetId="0">#REF!</definedName>
    <definedName name="RAN">#REF!</definedName>
    <definedName name="rate" localSheetId="0">#REF!</definedName>
    <definedName name="rate">#REF!</definedName>
    <definedName name="rbn" localSheetId="0">#REF!</definedName>
    <definedName name="rbn">#REF!</definedName>
    <definedName name="rcn" localSheetId="0">#REF!</definedName>
    <definedName name="rcn">#REF!</definedName>
    <definedName name="rdn" localSheetId="0">#REF!</definedName>
    <definedName name="rdn">#REF!</definedName>
    <definedName name="Reg">#REF!</definedName>
    <definedName name="reg_adult_in_col">#REF!</definedName>
    <definedName name="reg_adult_in_row">#REF!</definedName>
    <definedName name="reg_adult_in_row_range">#REF!</definedName>
    <definedName name="reg_adult_pt_col">#REF!</definedName>
    <definedName name="reg_adult_pt_row">#REF!</definedName>
    <definedName name="reg_adult_pt_row_range">#REF!</definedName>
    <definedName name="reg_peds_in_col">#REF!</definedName>
    <definedName name="reg_peds_in_row">#REF!</definedName>
    <definedName name="reg_peds_in_row_range">#REF!</definedName>
    <definedName name="reg_peds_pt_col">#REF!</definedName>
    <definedName name="reg_peds_pt_row">#REF!</definedName>
    <definedName name="reg_peds_pt_row_range">#REF!</definedName>
    <definedName name="Reg_stat">#REF!</definedName>
    <definedName name="Region">#REF!</definedName>
    <definedName name="Regions">#REF!</definedName>
    <definedName name="Regs">#REF!</definedName>
    <definedName name="ren" localSheetId="0">#REF!</definedName>
    <definedName name="ren">#REF!</definedName>
    <definedName name="Replacement">#REF!</definedName>
    <definedName name="Replacing">#REF!</definedName>
    <definedName name="ReportDate" localSheetId="0">#REF!</definedName>
    <definedName name="ReportDate">#REF!</definedName>
    <definedName name="Research_Evaluation">#REF!</definedName>
    <definedName name="rfa" localSheetId="0" hidden="1">{"Yr1",#N/A,FALSE,"Budget Detail";"Yr2",#N/A,FALSE,"Budget Detail";"Yr3",#N/A,FALSE,"Budget Detail";"Yr4",#N/A,FALSE,"Budget Detail";"Yr5",#N/A,FALSE,"Budget Detail";"Total",#N/A,FALSE,"Budget Detail"}</definedName>
    <definedName name="rfa">{"Yr1",#N/A,FALSE,"Budget Detail";"Yr2",#N/A,FALSE,"Budget Detail";"Yr3",#N/A,FALSE,"Budget Detail";"Yr4",#N/A,FALSE,"Budget Detail";"Yr5",#N/A,FALSE,"Budget Detail";"Total",#N/A,FALSE,"Budget Detail"}</definedName>
    <definedName name="rhn" localSheetId="0">#REF!</definedName>
    <definedName name="rhn">#REF!</definedName>
    <definedName name="rin" localSheetId="0">#REF!</definedName>
    <definedName name="rin">#REF!</definedName>
    <definedName name="rjn" localSheetId="0">#REF!</definedName>
    <definedName name="rjn">#REF!</definedName>
    <definedName name="rkn" localSheetId="0">#REF!</definedName>
    <definedName name="rkn">#REF!</definedName>
    <definedName name="rln" localSheetId="0">#REF!</definedName>
    <definedName name="rln">#REF!</definedName>
    <definedName name="roomrent">#REF!</definedName>
    <definedName name="rpn" localSheetId="0">#REF!</definedName>
    <definedName name="rpn">#REF!</definedName>
    <definedName name="rs" localSheetId="0">#REF!</definedName>
    <definedName name="rs">#REF!</definedName>
    <definedName name="rsn" localSheetId="0">#REF!</definedName>
    <definedName name="rsn">#REF!</definedName>
    <definedName name="RUSSIA">#REF!</definedName>
    <definedName name="rwn" localSheetId="0">#REF!</definedName>
    <definedName name="rwn">#REF!</definedName>
    <definedName name="SA_UN" localSheetId="0">#REF!</definedName>
    <definedName name="SA_UN">#REF!</definedName>
    <definedName name="Sampling_Testing">#REF!</definedName>
    <definedName name="san" localSheetId="0">#REF!</definedName>
    <definedName name="san">#REF!</definedName>
    <definedName name="scale_adult_in_col">#REF!</definedName>
    <definedName name="scale_adult_in_row">#REF!</definedName>
    <definedName name="scale_adult_in_row2">#REF!</definedName>
    <definedName name="scale_peds_in_col">#REF!</definedName>
    <definedName name="scale_peds_in_row">#REF!</definedName>
    <definedName name="scn" localSheetId="0">#REF!</definedName>
    <definedName name="scn">#REF!</definedName>
    <definedName name="sd" localSheetId="0">#REF!</definedName>
    <definedName name="sd">#REF!</definedName>
    <definedName name="sdf" localSheetId="0">#REF!</definedName>
    <definedName name="sdf">#REF!</definedName>
    <definedName name="sdfdsaf">#REF!</definedName>
    <definedName name="sdkj">#REF!</definedName>
    <definedName name="sdn" localSheetId="0">#REF!</definedName>
    <definedName name="sdn">#REF!</definedName>
    <definedName name="secondline" localSheetId="0">#REF!</definedName>
    <definedName name="secondline">#REF!</definedName>
    <definedName name="Section_1._Testing">#REF!</definedName>
    <definedName name="Sections">#REF!</definedName>
    <definedName name="sep">#REF!</definedName>
    <definedName name="SepIndex" localSheetId="0">#REF!</definedName>
    <definedName name="SepIndex">#REF!</definedName>
    <definedName name="Severance" localSheetId="0">#REF!</definedName>
    <definedName name="Severance">#REF!</definedName>
    <definedName name="sfc">#REF!</definedName>
    <definedName name="sfd">#REF!</definedName>
    <definedName name="sfn" localSheetId="0">#REF!</definedName>
    <definedName name="sfn">#REF!</definedName>
    <definedName name="Shared_Office_Accounts" localSheetId="0">#REF!</definedName>
    <definedName name="Shared_Office_Accounts">#REF!</definedName>
    <definedName name="Shipping">#REF!</definedName>
    <definedName name="Shipping_Rate" localSheetId="0">#REF!</definedName>
    <definedName name="Shipping_Rate">#REF!</definedName>
    <definedName name="Shipping_Rate1" localSheetId="0">#REF!</definedName>
    <definedName name="Shipping_Rate1">#REF!</definedName>
    <definedName name="shn" localSheetId="0">#REF!</definedName>
    <definedName name="shn">#REF!</definedName>
    <definedName name="sic">#REF!</definedName>
    <definedName name="sid">#REF!</definedName>
    <definedName name="SIGLE" localSheetId="0">#REF!</definedName>
    <definedName name="SIGLE">#REF!</definedName>
    <definedName name="Site" localSheetId="0">OFFSET(#REF!,0,0,COUNTA(#REF!),1)</definedName>
    <definedName name="Site">OFFSET(#REF!,0,0,COUNTA(#REF!),1)</definedName>
    <definedName name="SiteAndDistrict" localSheetId="0">#REF!</definedName>
    <definedName name="SiteAndDistrict">#REF!</definedName>
    <definedName name="SiteCodeDistrict" localSheetId="0">#REF!</definedName>
    <definedName name="SiteCodeDistrict">#REF!</definedName>
    <definedName name="Sites" localSheetId="0">#REF!</definedName>
    <definedName name="Sites">#REF!</definedName>
    <definedName name="Sites2" localSheetId="0">#REF!</definedName>
    <definedName name="Sites2">#REF!</definedName>
    <definedName name="Sites3" localSheetId="0">#REF!</definedName>
    <definedName name="Sites3">#REF!</definedName>
    <definedName name="SitesAndDistrict4" localSheetId="0">#REF!</definedName>
    <definedName name="SitesAndDistrict4">#REF!</definedName>
    <definedName name="SitesandDistricts3" localSheetId="0">#REF!</definedName>
    <definedName name="SitesandDistricts3">#REF!</definedName>
    <definedName name="skn" localSheetId="0">#REF!</definedName>
    <definedName name="skn">#REF!</definedName>
    <definedName name="sln" localSheetId="0">#REF!</definedName>
    <definedName name="sln">#REF!</definedName>
    <definedName name="smn" localSheetId="0">#REF!</definedName>
    <definedName name="smn">#REF!</definedName>
    <definedName name="SMSPrinters" localSheetId="0">#REF!</definedName>
    <definedName name="SMSPrinters">#REF!</definedName>
    <definedName name="son" localSheetId="0">#REF!</definedName>
    <definedName name="son">#REF!</definedName>
    <definedName name="sourcedata" localSheetId="0">OFFSET(#REF!,0,0,COUNTA(#REF!),COUNTA(#REF!))</definedName>
    <definedName name="sourcedata">OFFSET(#REF!,0,0,COUNTA(#REF!),COUNTA(#REF!))</definedName>
    <definedName name="sqn" localSheetId="0">#REF!</definedName>
    <definedName name="sqn">#REF!</definedName>
    <definedName name="srn" localSheetId="0">#REF!</definedName>
    <definedName name="srn">#REF!</definedName>
    <definedName name="ssn" localSheetId="0">#REF!</definedName>
    <definedName name="ssn">#REF!</definedName>
    <definedName name="StaffCategories" localSheetId="0">#REF!</definedName>
    <definedName name="StaffCategories">#REF!</definedName>
    <definedName name="start_date" localSheetId="0">#REF!</definedName>
    <definedName name="start_date">#REF!</definedName>
    <definedName name="start_period_1" localSheetId="0">#REF!</definedName>
    <definedName name="start_period_1">#REF!</definedName>
    <definedName name="start_period_10" localSheetId="0">#REF!</definedName>
    <definedName name="start_period_10">#REF!</definedName>
    <definedName name="start_period_2" localSheetId="0">#REF!</definedName>
    <definedName name="start_period_2">#REF!</definedName>
    <definedName name="start_period_3" localSheetId="0">#REF!</definedName>
    <definedName name="start_period_3">#REF!</definedName>
    <definedName name="start_period_4" localSheetId="0">#REF!</definedName>
    <definedName name="start_period_4">#REF!</definedName>
    <definedName name="start_period_5" localSheetId="0">#REF!</definedName>
    <definedName name="start_period_5">#REF!</definedName>
    <definedName name="start_period_6" localSheetId="0">#REF!</definedName>
    <definedName name="start_period_6">#REF!</definedName>
    <definedName name="start_period_7" localSheetId="0">#REF!</definedName>
    <definedName name="start_period_7">#REF!</definedName>
    <definedName name="start_period_8" localSheetId="0">#REF!</definedName>
    <definedName name="start_period_8">#REF!</definedName>
    <definedName name="start_period_9" localSheetId="0">#REF!</definedName>
    <definedName name="start_period_9">#REF!</definedName>
    <definedName name="StationaryCost" localSheetId="0">#REF!</definedName>
    <definedName name="StationaryCost">#REF!</definedName>
    <definedName name="Status" localSheetId="0">#REF!</definedName>
    <definedName name="Status">#REF!</definedName>
    <definedName name="stn" localSheetId="0">#REF!</definedName>
    <definedName name="stn">#REF!</definedName>
    <definedName name="Strategic_Group">#REF!</definedName>
    <definedName name="STTA">#REF!</definedName>
    <definedName name="Subaward_Fee" localSheetId="0">#REF!</definedName>
    <definedName name="Subaward_Fee">#REF!</definedName>
    <definedName name="Subawards">#REF!</definedName>
    <definedName name="Subcategories" localSheetId="0">#REF!</definedName>
    <definedName name="Subcategories">#REF!</definedName>
    <definedName name="SubFee" localSheetId="0">#REF!</definedName>
    <definedName name="SubFee">#REF!</definedName>
    <definedName name="SummaryA">#REF!</definedName>
    <definedName name="SummaryB">#REF!</definedName>
    <definedName name="SupportProgram" localSheetId="0">#REF!</definedName>
    <definedName name="SupportProgram">#REF!</definedName>
    <definedName name="SupportPrograms3" localSheetId="0">#REF!</definedName>
    <definedName name="SupportPrograms3">#REF!</definedName>
    <definedName name="Surplus___Deficit_Analysis_Basics">#REF!</definedName>
    <definedName name="SWA">#REF!</definedName>
    <definedName name="switchto_adult_col">#REF!</definedName>
    <definedName name="switchto_adult_col_range">#REF!</definedName>
    <definedName name="switchto_adult_row">#REF!</definedName>
    <definedName name="Table_Outcomes" localSheetId="0">#REF!</definedName>
    <definedName name="Table_Outcomes">#REF!</definedName>
    <definedName name="Table_TestColumn" localSheetId="0">#REF!</definedName>
    <definedName name="Table_TestColumn">#REF!</definedName>
    <definedName name="Table_TestCost" localSheetId="0">#REF!</definedName>
    <definedName name="Table_TestCost">#REF!</definedName>
    <definedName name="tan" localSheetId="0">#REF!</definedName>
    <definedName name="tan">#REF!</definedName>
    <definedName name="Tanz_UN" localSheetId="0">#REF!</definedName>
    <definedName name="Tanz_UN">#REF!</definedName>
    <definedName name="tbn" localSheetId="0">#REF!</definedName>
    <definedName name="tbn">#REF!</definedName>
    <definedName name="tcn" localSheetId="0">#REF!</definedName>
    <definedName name="tcn">#REF!</definedName>
    <definedName name="tdlunch">#REF!</definedName>
    <definedName name="tdn" localSheetId="0">#REF!</definedName>
    <definedName name="tdn">#REF!</definedName>
    <definedName name="ten" localSheetId="0">#REF!</definedName>
    <definedName name="ten">#REF!</definedName>
    <definedName name="test">#REF!</definedName>
    <definedName name="test1">#REF!</definedName>
    <definedName name="test11">#REF!</definedName>
    <definedName name="test3">#REF!</definedName>
    <definedName name="text">#REF!</definedName>
    <definedName name="tfn" localSheetId="0">#REF!</definedName>
    <definedName name="tfn">#REF!</definedName>
    <definedName name="tgn" localSheetId="0">#REF!</definedName>
    <definedName name="tgn">#REF!</definedName>
    <definedName name="thn" localSheetId="0">#REF!</definedName>
    <definedName name="thn">#REF!</definedName>
    <definedName name="TIMP" localSheetId="0">#REF!</definedName>
    <definedName name="TIMP">#REF!</definedName>
    <definedName name="tin" localSheetId="0">#REF!</definedName>
    <definedName name="tin">#REF!</definedName>
    <definedName name="tkn" localSheetId="0">#REF!</definedName>
    <definedName name="tkn">#REF!</definedName>
    <definedName name="tln" localSheetId="0">#REF!</definedName>
    <definedName name="tln">#REF!</definedName>
    <definedName name="tnn" localSheetId="0">#REF!</definedName>
    <definedName name="tnn">#REF!</definedName>
    <definedName name="totalcost2" localSheetId="0">#REF!</definedName>
    <definedName name="totalcost2">#REF!</definedName>
    <definedName name="totalcost3" localSheetId="0">#REF!</definedName>
    <definedName name="totalcost3">#REF!</definedName>
    <definedName name="totalcost4" localSheetId="0">#REF!</definedName>
    <definedName name="totalcost4">#REF!</definedName>
    <definedName name="totalcost5" localSheetId="0">#REF!</definedName>
    <definedName name="totalcost5">#REF!</definedName>
    <definedName name="tqn" localSheetId="0">#REF!</definedName>
    <definedName name="tqn">#REF!</definedName>
    <definedName name="TRACKER"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RACKER">REPT(LOCAL_YEAR_FORMAT,4)&amp;LOCAL_DATE_SEPARATOR&amp;REPT(LOCAL_MONTH_FORMAT,2)&amp;LOCAL_DATE_SEPARATOR&amp;REPT(LOCAL_DAY_FORMAT,2)&amp;" "&amp;REPT(LOCAL_HOUR_FORMAT,2)&amp;LOCAL_TIME_SEPARATOR&amp;REPT(LOCAL_MINUTE_FORMAT,2)&amp;LOCAL_TIME_SEPARATOR&amp;REPT(LOCAL_SECOND_FORMAT,2)</definedName>
    <definedName name="Trainings">#REF!</definedName>
    <definedName name="trans_adult_stock_col">#REF!</definedName>
    <definedName name="trans_adult_stock_row">#REF!</definedName>
    <definedName name="trans_adult_stock_row_range">#REF!</definedName>
    <definedName name="Travel" localSheetId="0">#REF!</definedName>
    <definedName name="Travel">#REF!</definedName>
    <definedName name="travmisc">#REF!+#REF!+#REF!</definedName>
    <definedName name="trtfail_adult_col">#REF!</definedName>
    <definedName name="trtfail_adult_col_range">#REF!</definedName>
    <definedName name="trtfail_adult_row">#REF!</definedName>
    <definedName name="tsn" localSheetId="0">#REF!</definedName>
    <definedName name="tsn">#REF!</definedName>
    <definedName name="ttn" localSheetId="0">#REF!</definedName>
    <definedName name="ttn">#REF!</definedName>
    <definedName name="TURKEY">#REF!</definedName>
    <definedName name="twn" localSheetId="0">#REF!</definedName>
    <definedName name="twn">#REF!</definedName>
    <definedName name="Type_of_expense" localSheetId="0">#REF!</definedName>
    <definedName name="Type_of_expense">#REF!</definedName>
    <definedName name="uan" localSheetId="0">#REF!</definedName>
    <definedName name="uan">#REF!</definedName>
    <definedName name="ucn" localSheetId="0">#REF!</definedName>
    <definedName name="ucn">#REF!</definedName>
    <definedName name="udn" localSheetId="0">#REF!</definedName>
    <definedName name="udn">#REF!</definedName>
    <definedName name="uen" localSheetId="0">#REF!</definedName>
    <definedName name="uen">#REF!</definedName>
    <definedName name="ufn" localSheetId="0">#REF!</definedName>
    <definedName name="ufn">#REF!</definedName>
    <definedName name="Uganda_UN" localSheetId="0">#REF!</definedName>
    <definedName name="Uganda_UN">#REF!</definedName>
    <definedName name="ugandaacct" localSheetId="0">#REF!</definedName>
    <definedName name="ugandaacct">#REF!</definedName>
    <definedName name="ugandatotal" localSheetId="0">#REF!</definedName>
    <definedName name="ugandatotal">#REF!</definedName>
    <definedName name="uhn" localSheetId="0">#REF!</definedName>
    <definedName name="uhn">#REF!</definedName>
    <definedName name="uin" localSheetId="0">#REF!</definedName>
    <definedName name="uin">#REF!</definedName>
    <definedName name="ukn" localSheetId="0">#REF!</definedName>
    <definedName name="ukn">#REF!</definedName>
    <definedName name="uln" localSheetId="0">#REF!</definedName>
    <definedName name="uln">#REF!</definedName>
    <definedName name="umn" localSheetId="0">#REF!</definedName>
    <definedName name="umn">#REF!</definedName>
    <definedName name="UNITAIDRAS1" localSheetId="0">#REF!</definedName>
    <definedName name="UNITAIDRAS1">#REF!</definedName>
    <definedName name="unn" localSheetId="0">#REF!</definedName>
    <definedName name="unn">#REF!</definedName>
    <definedName name="uon" localSheetId="0">#REF!</definedName>
    <definedName name="uon">#REF!</definedName>
    <definedName name="upn" localSheetId="0">#REF!</definedName>
    <definedName name="upn">#REF!</definedName>
    <definedName name="usaidperd">#REF!+#REF!</definedName>
    <definedName name="USD_Euro" localSheetId="0">#REF!</definedName>
    <definedName name="USD_Euro">#REF!</definedName>
    <definedName name="usdcfa" localSheetId="0">#REF!</definedName>
    <definedName name="usdcfa">#REF!</definedName>
    <definedName name="usinflation" localSheetId="0">#REF!</definedName>
    <definedName name="usinflation">#REF!</definedName>
    <definedName name="usinflation_yr2" localSheetId="0">#REF!</definedName>
    <definedName name="usinflation_yr2">#REF!</definedName>
    <definedName name="usinflation_yr3" localSheetId="0">#REF!</definedName>
    <definedName name="usinflation_yr3">#REF!</definedName>
    <definedName name="usinflation_yr4" localSheetId="0">#REF!</definedName>
    <definedName name="usinflation_yr4">#REF!</definedName>
    <definedName name="usinflation_yr5" localSheetId="0">#REF!</definedName>
    <definedName name="usinflation_yr5">#REF!</definedName>
    <definedName name="utn" localSheetId="0">#REF!</definedName>
    <definedName name="utn">#REF!</definedName>
    <definedName name="UU"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UU">REPT(LOCAL_YEAR_FORMAT,4)&amp;LOCAL_DATE_SEPARATOR&amp;REPT(LOCAL_MONTH_FORMAT,2)&amp;LOCAL_DATE_SEPARATOR&amp;REPT(LOCAL_DAY_FORMAT,2)&amp;" "&amp;REPT(LOCAL_HOUR_FORMAT,2)&amp;LOCAL_TIME_SEPARATOR&amp;REPT(LOCAL_MINUTE_FORMAT,2)&amp;LOCAL_TIME_SEPARATOR&amp;REPT(LOCAL_SECOND_FORMAT,2)</definedName>
    <definedName name="uzn" localSheetId="0">#REF!</definedName>
    <definedName name="uzn">#REF!</definedName>
    <definedName name="VAC">#REF!</definedName>
    <definedName name="Vacay_Taken" localSheetId="0">#REF!</definedName>
    <definedName name="Vacay_Taken">#REF!</definedName>
    <definedName name="varARVShip">0.15</definedName>
    <definedName name="VenueCost" localSheetId="0">#REF!</definedName>
    <definedName name="VenueCost">#REF!</definedName>
    <definedName name="VenueFood" localSheetId="0">#REF!</definedName>
    <definedName name="VenueFood">#REF!</definedName>
    <definedName name="VenueSnack" localSheetId="0">#REF!</definedName>
    <definedName name="VenueSnack">#REF!</definedName>
    <definedName name="vgnc1" localSheetId="0">#REF!</definedName>
    <definedName name="vgnc1">#REF!</definedName>
    <definedName name="vgnc2" localSheetId="0">#REF!</definedName>
    <definedName name="vgnc2">#REF!</definedName>
    <definedName name="vgndc1" localSheetId="0">#REF!</definedName>
    <definedName name="vgndc1">#REF!</definedName>
    <definedName name="vgndc2" localSheetId="0">#REF!</definedName>
    <definedName name="vgndc2">#REF!</definedName>
    <definedName name="VGNS1" localSheetId="0">#REF!</definedName>
    <definedName name="VGNS1">#REF!</definedName>
    <definedName name="vgns2" localSheetId="0">#REF!</definedName>
    <definedName name="vgns2">#REF!</definedName>
    <definedName name="ville" localSheetId="0">#REF!</definedName>
    <definedName name="ville">#REF!</definedName>
    <definedName name="w">#REF!</definedName>
    <definedName name="workerscomp.expat" localSheetId="0">#REF!</definedName>
    <definedName name="workerscomp.expat">#REF!</definedName>
    <definedName name="workerscomp.intlstaff" localSheetId="0">#REF!</definedName>
    <definedName name="workerscomp.intlstaff">#REF!</definedName>
    <definedName name="wrn.cdra._.Total._.budget.2" localSheetId="0" hidden="1">{"Yr1",#N/A,FALSE,"Budget Detail";"Yr2",#N/A,FALSE,"Budget Detail";"Yr3",#N/A,FALSE,"Budget Detail";"Yr4",#N/A,FALSE,"Budget Detail";"Yr5",#N/A,FALSE,"Budget Detail";"Total",#N/A,FALSE,"Budget Detail"}</definedName>
    <definedName name="wrn.cdra._.Total._.budget.2">{"Yr1",#N/A,FALSE,"Budget Detail";"Yr2",#N/A,FALSE,"Budget Detail";"Yr3",#N/A,FALSE,"Budget Detail";"Yr4",#N/A,FALSE,"Budget Detail";"Yr5",#N/A,FALSE,"Budget Detail";"Total",#N/A,FALSE,"Budget Detail"}</definedName>
    <definedName name="wrn.cdra._.total._.Budget.5" localSheetId="0" hidden="1">{"Yr1",#N/A,FALSE,"Budget Detail";"Yr2",#N/A,FALSE,"Budget Detail";"Yr3",#N/A,FALSE,"Budget Detail";"Yr4",#N/A,FALSE,"Budget Detail";"Yr5",#N/A,FALSE,"Budget Detail";"Total",#N/A,FALSE,"Budget Detail"}</definedName>
    <definedName name="wrn.cdra._.total._.Budget.5">{"Yr1",#N/A,FALSE,"Budget Detail";"Yr2",#N/A,FALSE,"Budget Detail";"Yr3",#N/A,FALSE,"Budget Detail";"Yr4",#N/A,FALSE,"Budget Detail";"Yr5",#N/A,FALSE,"Budget Detail";"Total",#N/A,FALSE,"Budget Detail"}</definedName>
    <definedName name="wrn.CRDA._.Total._.Budget." localSheetId="0" hidden="1">{"Yr1",#N/A,FALSE,"Budget Detail";"Yr2",#N/A,FALSE,"Budget Detail";"Yr3",#N/A,FALSE,"Budget Detail";"Yr4",#N/A,FALSE,"Budget Detail";"Yr5",#N/A,FALSE,"Budget Detail";"Total",#N/A,FALSE,"Budget Detail"}</definedName>
    <definedName name="wrn.CRDA._.Total._.Budget.">{"Yr1",#N/A,FALSE,"Budget Detail";"Yr2",#N/A,FALSE,"Budget Detail";"Yr3",#N/A,FALSE,"Budget Detail";"Yr4",#N/A,FALSE,"Budget Detail";"Yr5",#N/A,FALSE,"Budget Detail";"Total",#N/A,FALSE,"Budget Detail"}</definedName>
    <definedName name="wrn.crda._.Total._.budget.1" localSheetId="0" hidden="1">{"Yr1",#N/A,FALSE,"Budget Detail";"Yr2",#N/A,FALSE,"Budget Detail";"Yr3",#N/A,FALSE,"Budget Detail";"Yr4",#N/A,FALSE,"Budget Detail";"Yr5",#N/A,FALSE,"Budget Detail";"Total",#N/A,FALSE,"Budget Detail"}</definedName>
    <definedName name="wrn.crda._.Total._.budget.1">{"Yr1",#N/A,FALSE,"Budget Detail";"Yr2",#N/A,FALSE,"Budget Detail";"Yr3",#N/A,FALSE,"Budget Detail";"Yr4",#N/A,FALSE,"Budget Detail";"Yr5",#N/A,FALSE,"Budget Detail";"Total",#N/A,FALSE,"Budget Detail"}</definedName>
    <definedName name="wrn.crda._.Total._.budget.3" localSheetId="0" hidden="1">{"Yr1",#N/A,FALSE,"Budget Detail";"Yr2",#N/A,FALSE,"Budget Detail";"Yr3",#N/A,FALSE,"Budget Detail";"Yr4",#N/A,FALSE,"Budget Detail";"Yr5",#N/A,FALSE,"Budget Detail";"Total",#N/A,FALSE,"Budget Detail"}</definedName>
    <definedName name="wrn.crda._.Total._.budget.3">{"Yr1",#N/A,FALSE,"Budget Detail";"Yr2",#N/A,FALSE,"Budget Detail";"Yr3",#N/A,FALSE,"Budget Detail";"Yr4",#N/A,FALSE,"Budget Detail";"Yr5",#N/A,FALSE,"Budget Detail";"Total",#N/A,FALSE,"Budget Detail"}</definedName>
    <definedName name="wrn.crda._.Total._.Budget.4" localSheetId="0" hidden="1">{"Yr1",#N/A,FALSE,"Budget Detail";"Yr2",#N/A,FALSE,"Budget Detail";"Yr3",#N/A,FALSE,"Budget Detail";"Yr4",#N/A,FALSE,"Budget Detail";"Yr5",#N/A,FALSE,"Budget Detail";"Total",#N/A,FALSE,"Budget Detail"}</definedName>
    <definedName name="wrn.crda._.Total._.Budget.4">{"Yr1",#N/A,FALSE,"Budget Detail";"Yr2",#N/A,FALSE,"Budget Detail";"Yr3",#N/A,FALSE,"Budget Detail";"Yr4",#N/A,FALSE,"Budget Detail";"Yr5",#N/A,FALSE,"Budget Detail";"Total",#N/A,FALSE,"Budget Detail"}</definedName>
    <definedName name="wt_band_input">#REF!</definedName>
    <definedName name="wt_bands">#REF!</definedName>
    <definedName name="x" localSheetId="0">#REF!</definedName>
    <definedName name="x">#REF!</definedName>
    <definedName name="year" localSheetId="0">#REF!</definedName>
    <definedName name="year">#REF!</definedName>
    <definedName name="year1" localSheetId="0">#REF!</definedName>
    <definedName name="year1">#REF!</definedName>
    <definedName name="year2" localSheetId="0">#REF!</definedName>
    <definedName name="year2">#REF!</definedName>
    <definedName name="year3" localSheetId="0">#REF!</definedName>
    <definedName name="year3">#REF!</definedName>
    <definedName name="year4" localSheetId="0">#REF!</definedName>
    <definedName name="year4">#REF!</definedName>
    <definedName name="year5" localSheetId="0">#REF!</definedName>
    <definedName name="year5">#REF!</definedName>
    <definedName name="yearbegin" localSheetId="0">#REF!</definedName>
    <definedName name="yearbegin">#REF!</definedName>
    <definedName name="YesNo" localSheetId="0">#REF!</definedName>
    <definedName name="YesNo">#REF!</definedName>
    <definedName name="YR2?" localSheetId="0">#REF!</definedName>
    <definedName name="YR2?">#REF!</definedName>
    <definedName name="yrbegin" localSheetId="0">#REF!</definedName>
    <definedName name="yrbegin">#REF!</definedName>
    <definedName name="yrend" localSheetId="0">#REF!</definedName>
    <definedName name="yrend">#REF!</definedName>
    <definedName name="YTDA" localSheetId="0">#REF!</definedName>
    <definedName name="YTDA">#REF!</definedName>
    <definedName name="YTDB" localSheetId="0">#REF!</definedName>
    <definedName name="YTDB">#REF!</definedName>
    <definedName name="z" localSheetId="0">#REF!</definedName>
    <definedName name="z">#REF!</definedName>
    <definedName name="Zam_UN" localSheetId="0">#REF!</definedName>
    <definedName name="Zam_UN">#REF!</definedName>
    <definedName name="Zim_UN" localSheetId="0">#REF!</definedName>
    <definedName name="Zim_U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6" roundtripDataChecksum="JQp0/5AcTqd54dryy7MpwnDFJd63VdnOc/qtilxyMwo="/>
    </ext>
  </extLst>
</workbook>
</file>

<file path=xl/calcChain.xml><?xml version="1.0" encoding="utf-8"?>
<calcChain xmlns="http://schemas.openxmlformats.org/spreadsheetml/2006/main">
  <c r="R54" i="2" l="1"/>
  <c r="R477" i="2"/>
  <c r="R665" i="2"/>
  <c r="R664" i="2"/>
  <c r="R663" i="2"/>
  <c r="R662" i="2"/>
  <c r="R661" i="2"/>
  <c r="R660" i="2"/>
  <c r="R659" i="2"/>
  <c r="G659" i="2"/>
  <c r="G660" i="2" s="1"/>
  <c r="G661" i="2" s="1"/>
  <c r="G662" i="2" s="1"/>
  <c r="G663" i="2" s="1"/>
  <c r="G664" i="2" s="1"/>
  <c r="G665" i="2" s="1"/>
  <c r="R658" i="2"/>
  <c r="R648" i="2"/>
  <c r="R646" i="2"/>
  <c r="R640" i="2"/>
  <c r="R636" i="2"/>
  <c r="R635" i="2"/>
  <c r="G635" i="2"/>
  <c r="G636" i="2" s="1"/>
  <c r="G637" i="2" s="1"/>
  <c r="R634" i="2"/>
  <c r="R633" i="2"/>
  <c r="R625" i="2"/>
  <c r="R623" i="2"/>
  <c r="R621" i="2"/>
  <c r="R619" i="2"/>
  <c r="R617" i="2"/>
  <c r="G616" i="2"/>
  <c r="G617" i="2" s="1"/>
  <c r="G618" i="2" s="1"/>
  <c r="R615" i="2"/>
  <c r="G615" i="2"/>
  <c r="G611" i="2"/>
  <c r="G612" i="2" s="1"/>
  <c r="R610" i="2"/>
  <c r="R604" i="2"/>
  <c r="R601" i="2"/>
  <c r="R600" i="2"/>
  <c r="R598" i="2"/>
  <c r="R596" i="2"/>
  <c r="R595" i="2"/>
  <c r="R594" i="2"/>
  <c r="R592" i="2"/>
  <c r="R590" i="2"/>
  <c r="R588" i="2"/>
  <c r="R587" i="2"/>
  <c r="R585" i="2"/>
  <c r="R583" i="2"/>
  <c r="R580" i="2"/>
  <c r="R577" i="2"/>
  <c r="R575" i="2"/>
  <c r="R572" i="2"/>
  <c r="G570" i="2"/>
  <c r="G571" i="2" s="1"/>
  <c r="R569" i="2"/>
  <c r="G568" i="2"/>
  <c r="R567" i="2"/>
  <c r="R566" i="2"/>
  <c r="R565" i="2"/>
  <c r="R563" i="2"/>
  <c r="R562" i="2"/>
  <c r="R556" i="2"/>
  <c r="R555" i="2"/>
  <c r="R554" i="2"/>
  <c r="R553" i="2"/>
  <c r="G551" i="2"/>
  <c r="G552" i="2" s="1"/>
  <c r="G553" i="2" s="1"/>
  <c r="G554" i="2" s="1"/>
  <c r="G555" i="2" s="1"/>
  <c r="G556" i="2" s="1"/>
  <c r="G557" i="2" s="1"/>
  <c r="G558" i="2" s="1"/>
  <c r="G559" i="2" s="1"/>
  <c r="G560" i="2" s="1"/>
  <c r="G561" i="2" s="1"/>
  <c r="R550" i="2"/>
  <c r="R549" i="2"/>
  <c r="R548" i="2"/>
  <c r="G546" i="2"/>
  <c r="R546" i="2" s="1"/>
  <c r="R545" i="2"/>
  <c r="R544" i="2"/>
  <c r="R536" i="2"/>
  <c r="R534" i="2"/>
  <c r="R531" i="2"/>
  <c r="G531" i="2"/>
  <c r="G532" i="2" s="1"/>
  <c r="R527" i="2"/>
  <c r="R525" i="2"/>
  <c r="R523" i="2"/>
  <c r="R522" i="2"/>
  <c r="R518" i="2"/>
  <c r="R517" i="2"/>
  <c r="R514" i="2"/>
  <c r="R513" i="2"/>
  <c r="R512" i="2"/>
  <c r="R509" i="2"/>
  <c r="R507" i="2"/>
  <c r="R505" i="2"/>
  <c r="R503" i="2"/>
  <c r="R501" i="2"/>
  <c r="R499" i="2"/>
  <c r="R497" i="2"/>
  <c r="R491" i="2"/>
  <c r="R490" i="2"/>
  <c r="R489" i="2"/>
  <c r="R488" i="2"/>
  <c r="R487" i="2"/>
  <c r="G487" i="2"/>
  <c r="G488" i="2" s="1"/>
  <c r="G489" i="2" s="1"/>
  <c r="G490" i="2" s="1"/>
  <c r="G491" i="2" s="1"/>
  <c r="G492" i="2" s="1"/>
  <c r="G493" i="2" s="1"/>
  <c r="R486" i="2"/>
  <c r="R485" i="2"/>
  <c r="R484" i="2"/>
  <c r="R483" i="2"/>
  <c r="R482" i="2"/>
  <c r="R479" i="2"/>
  <c r="R476" i="2"/>
  <c r="R475" i="2"/>
  <c r="R474" i="2"/>
  <c r="R471" i="2"/>
  <c r="G470" i="2"/>
  <c r="R470" i="2" s="1"/>
  <c r="R469" i="2"/>
  <c r="R467" i="2"/>
  <c r="R466" i="2"/>
  <c r="R465" i="2"/>
  <c r="R464" i="2"/>
  <c r="R463" i="2"/>
  <c r="R462" i="2"/>
  <c r="R461" i="2"/>
  <c r="R460" i="2"/>
  <c r="R459" i="2"/>
  <c r="R458" i="2"/>
  <c r="R457" i="2"/>
  <c r="R454" i="2"/>
  <c r="R453" i="2"/>
  <c r="R449" i="2"/>
  <c r="R448" i="2"/>
  <c r="R445" i="2"/>
  <c r="R440" i="2"/>
  <c r="R438" i="2"/>
  <c r="R437" i="2"/>
  <c r="R434" i="2"/>
  <c r="R429" i="2"/>
  <c r="R427" i="2"/>
  <c r="R426" i="2"/>
  <c r="R423" i="2"/>
  <c r="R418" i="2"/>
  <c r="R416" i="2"/>
  <c r="R413" i="2"/>
  <c r="R410" i="2"/>
  <c r="R409" i="2"/>
  <c r="R407" i="2"/>
  <c r="G407" i="2"/>
  <c r="G408" i="2" s="1"/>
  <c r="R408" i="2" s="1"/>
  <c r="R404" i="2"/>
  <c r="R403" i="2"/>
  <c r="R402" i="2"/>
  <c r="R401" i="2"/>
  <c r="R400" i="2"/>
  <c r="R358" i="2"/>
  <c r="R357" i="2"/>
  <c r="R356" i="2"/>
  <c r="R334" i="2"/>
  <c r="R333" i="2"/>
  <c r="R332" i="2"/>
  <c r="G332" i="2"/>
  <c r="G333" i="2" s="1"/>
  <c r="G334" i="2" s="1"/>
  <c r="G335" i="2" s="1"/>
  <c r="G336" i="2" s="1"/>
  <c r="G337" i="2" s="1"/>
  <c r="G338" i="2" s="1"/>
  <c r="G339" i="2" s="1"/>
  <c r="G340" i="2" s="1"/>
  <c r="G341" i="2" s="1"/>
  <c r="G342" i="2" s="1"/>
  <c r="G343" i="2" s="1"/>
  <c r="G344" i="2" s="1"/>
  <c r="G345" i="2" s="1"/>
  <c r="G346" i="2" s="1"/>
  <c r="G347" i="2" s="1"/>
  <c r="G348" i="2" s="1"/>
  <c r="G349" i="2" s="1"/>
  <c r="G350" i="2" s="1"/>
  <c r="G351" i="2" s="1"/>
  <c r="G352" i="2" s="1"/>
  <c r="G353" i="2" s="1"/>
  <c r="G354" i="2" s="1"/>
  <c r="G355" i="2" s="1"/>
  <c r="G356" i="2" s="1"/>
  <c r="G357" i="2" s="1"/>
  <c r="G358" i="2" s="1"/>
  <c r="G359" i="2" s="1"/>
  <c r="G360" i="2" s="1"/>
  <c r="G361" i="2" s="1"/>
  <c r="G362" i="2" s="1"/>
  <c r="G363" i="2" s="1"/>
  <c r="G364" i="2" s="1"/>
  <c r="G365" i="2" s="1"/>
  <c r="G366" i="2" s="1"/>
  <c r="G367" i="2" s="1"/>
  <c r="G368" i="2" s="1"/>
  <c r="G369" i="2" s="1"/>
  <c r="G370" i="2" s="1"/>
  <c r="G371" i="2" s="1"/>
  <c r="G372" i="2" s="1"/>
  <c r="G373" i="2" s="1"/>
  <c r="G374" i="2" s="1"/>
  <c r="G375" i="2" s="1"/>
  <c r="G376" i="2" s="1"/>
  <c r="G377" i="2" s="1"/>
  <c r="G378" i="2" s="1"/>
  <c r="G379" i="2" s="1"/>
  <c r="G380" i="2" s="1"/>
  <c r="G381" i="2" s="1"/>
  <c r="G382" i="2" s="1"/>
  <c r="G383" i="2" s="1"/>
  <c r="G384" i="2" s="1"/>
  <c r="G385" i="2" s="1"/>
  <c r="G386" i="2" s="1"/>
  <c r="G387" i="2" s="1"/>
  <c r="G388" i="2" s="1"/>
  <c r="G389" i="2" s="1"/>
  <c r="G390" i="2" s="1"/>
  <c r="G391" i="2" s="1"/>
  <c r="G392" i="2" s="1"/>
  <c r="G393" i="2" s="1"/>
  <c r="G394" i="2" s="1"/>
  <c r="G395" i="2" s="1"/>
  <c r="G396" i="2" s="1"/>
  <c r="G397" i="2" s="1"/>
  <c r="G398" i="2" s="1"/>
  <c r="G399" i="2" s="1"/>
  <c r="G400" i="2" s="1"/>
  <c r="G401" i="2" s="1"/>
  <c r="G402" i="2" s="1"/>
  <c r="G403" i="2" s="1"/>
  <c r="G404" i="2" s="1"/>
  <c r="R331" i="2"/>
  <c r="R330" i="2"/>
  <c r="R329" i="2"/>
  <c r="R328" i="2"/>
  <c r="G328" i="2"/>
  <c r="G329" i="2" s="1"/>
  <c r="R327" i="2"/>
  <c r="R326" i="2"/>
  <c r="R325" i="2"/>
  <c r="R324" i="2"/>
  <c r="R323" i="2"/>
  <c r="R314" i="2"/>
  <c r="G312" i="2"/>
  <c r="R312" i="2" s="1"/>
  <c r="G311" i="2"/>
  <c r="R309" i="2"/>
  <c r="R306" i="2"/>
  <c r="G306" i="2"/>
  <c r="G307" i="2" s="1"/>
  <c r="R303" i="2"/>
  <c r="R298" i="2"/>
  <c r="G298" i="2"/>
  <c r="G299" i="2" s="1"/>
  <c r="R296" i="2"/>
  <c r="R294" i="2"/>
  <c r="R289" i="2"/>
  <c r="R286" i="2"/>
  <c r="R283" i="2"/>
  <c r="G282" i="2"/>
  <c r="G283" i="2" s="1"/>
  <c r="G284" i="2" s="1"/>
  <c r="R281" i="2"/>
  <c r="R280" i="2"/>
  <c r="R279" i="2"/>
  <c r="R269" i="2"/>
  <c r="R268" i="2"/>
  <c r="R267" i="2"/>
  <c r="R266" i="2"/>
  <c r="R265" i="2"/>
  <c r="R264" i="2"/>
  <c r="R263" i="2"/>
  <c r="R262" i="2"/>
  <c r="R258" i="2"/>
  <c r="R256" i="2"/>
  <c r="R255" i="2"/>
  <c r="R254" i="2"/>
  <c r="R253" i="2"/>
  <c r="R252" i="2"/>
  <c r="R251" i="2"/>
  <c r="R250" i="2"/>
  <c r="R249" i="2"/>
  <c r="R246" i="2"/>
  <c r="R244" i="2"/>
  <c r="G244" i="2"/>
  <c r="G245" i="2" s="1"/>
  <c r="R240" i="2"/>
  <c r="R235" i="2"/>
  <c r="R234" i="2"/>
  <c r="R226" i="2"/>
  <c r="R225" i="2"/>
  <c r="R224" i="2"/>
  <c r="R223" i="2"/>
  <c r="R222" i="2"/>
  <c r="R221" i="2"/>
  <c r="R219" i="2"/>
  <c r="R217" i="2"/>
  <c r="R215" i="2"/>
  <c r="R214" i="2"/>
  <c r="R213" i="2"/>
  <c r="R212" i="2"/>
  <c r="R211" i="2"/>
  <c r="R210" i="2"/>
  <c r="R208" i="2"/>
  <c r="R202" i="2"/>
  <c r="R201" i="2"/>
  <c r="R200" i="2"/>
  <c r="R199" i="2"/>
  <c r="G199" i="2"/>
  <c r="G200" i="2" s="1"/>
  <c r="G201" i="2" s="1"/>
  <c r="G202" i="2" s="1"/>
  <c r="G203" i="2" s="1"/>
  <c r="R194" i="2"/>
  <c r="R192" i="2"/>
  <c r="R189" i="2"/>
  <c r="R188" i="2"/>
  <c r="G188" i="2"/>
  <c r="G189" i="2" s="1"/>
  <c r="G190" i="2" s="1"/>
  <c r="R190" i="2" s="1"/>
  <c r="R182" i="2"/>
  <c r="R177" i="2"/>
  <c r="R176" i="2"/>
  <c r="R175" i="2"/>
  <c r="R174" i="2"/>
  <c r="R173" i="2"/>
  <c r="R160" i="2"/>
  <c r="R159" i="2"/>
  <c r="R153" i="2"/>
  <c r="R151" i="2"/>
  <c r="R145" i="2"/>
  <c r="R143" i="2"/>
  <c r="R142" i="2"/>
  <c r="R140" i="2"/>
  <c r="G140" i="2"/>
  <c r="G141" i="2" s="1"/>
  <c r="R139" i="2"/>
  <c r="R138" i="2"/>
  <c r="R132" i="2"/>
  <c r="R130" i="2"/>
  <c r="R129" i="2"/>
  <c r="R127" i="2"/>
  <c r="R126" i="2"/>
  <c r="R125" i="2"/>
  <c r="R124" i="2"/>
  <c r="R122" i="2"/>
  <c r="R121" i="2"/>
  <c r="R120" i="2"/>
  <c r="R119" i="2"/>
  <c r="R118" i="2"/>
  <c r="R117" i="2"/>
  <c r="R116" i="2"/>
  <c r="R110" i="2"/>
  <c r="R108" i="2"/>
  <c r="R106" i="2"/>
  <c r="G105" i="2"/>
  <c r="G106" i="2" s="1"/>
  <c r="G107" i="2" s="1"/>
  <c r="R107" i="2" s="1"/>
  <c r="R104" i="2"/>
  <c r="G104" i="2"/>
  <c r="R98" i="2"/>
  <c r="R91" i="2"/>
  <c r="R88" i="2"/>
  <c r="G87" i="2"/>
  <c r="G88" i="2" s="1"/>
  <c r="G89" i="2" s="1"/>
  <c r="R86" i="2"/>
  <c r="R85" i="2"/>
  <c r="R73" i="2"/>
  <c r="R72" i="2"/>
  <c r="R71" i="2"/>
  <c r="R68" i="2"/>
  <c r="R67" i="2"/>
  <c r="R66" i="2"/>
  <c r="R64" i="2"/>
  <c r="R63" i="2"/>
  <c r="R61" i="2"/>
  <c r="R60" i="2"/>
  <c r="R59" i="2"/>
  <c r="R58" i="2"/>
  <c r="R57" i="2"/>
  <c r="R56" i="2"/>
  <c r="R55" i="2"/>
  <c r="R52" i="2"/>
  <c r="R51" i="2"/>
  <c r="R43" i="2"/>
  <c r="R42" i="2"/>
  <c r="R41" i="2"/>
  <c r="R40" i="2"/>
  <c r="R39" i="2"/>
  <c r="G39" i="2"/>
  <c r="G40" i="2" s="1"/>
  <c r="G41" i="2" s="1"/>
  <c r="G42" i="2" s="1"/>
  <c r="G43" i="2" s="1"/>
  <c r="G44" i="2" s="1"/>
  <c r="G28" i="2"/>
  <c r="G29" i="2" s="1"/>
  <c r="G30" i="2" s="1"/>
  <c r="G31" i="2" s="1"/>
  <c r="G32" i="2" s="1"/>
  <c r="R27" i="2"/>
  <c r="R26" i="2"/>
  <c r="R25" i="2"/>
  <c r="R24" i="2"/>
  <c r="G24" i="2"/>
  <c r="G25" i="2" s="1"/>
  <c r="G26" i="2" s="1"/>
  <c r="R23" i="2"/>
  <c r="R22" i="2"/>
  <c r="R14" i="2"/>
  <c r="R13" i="2"/>
  <c r="G13" i="2"/>
  <c r="G14" i="2" s="1"/>
  <c r="G15" i="2" s="1"/>
  <c r="G16" i="2" s="1"/>
  <c r="R9" i="2"/>
  <c r="R8" i="2"/>
  <c r="G246" i="2" l="1"/>
  <c r="G247" i="2" s="1"/>
  <c r="G248" i="2" s="1"/>
  <c r="R248" i="2" s="1"/>
  <c r="R245" i="2"/>
  <c r="G142" i="2"/>
  <c r="G143" i="2" s="1"/>
  <c r="G144" i="2" s="1"/>
  <c r="G145" i="2" s="1"/>
  <c r="G146" i="2" s="1"/>
  <c r="G147" i="2" s="1"/>
  <c r="R147" i="2" s="1"/>
  <c r="R141" i="2"/>
  <c r="R28" i="2"/>
  <c r="R105" i="2"/>
  <c r="G471" i="2"/>
  <c r="G472" i="2" s="1"/>
  <c r="G473" i="2" s="1"/>
  <c r="R611" i="2"/>
  <c r="G90" i="2"/>
  <c r="R89" i="2"/>
  <c r="G285" i="2"/>
  <c r="R284" i="2"/>
  <c r="G249" i="2"/>
  <c r="G250" i="2" s="1"/>
  <c r="G251" i="2" s="1"/>
  <c r="G252" i="2" s="1"/>
  <c r="G253" i="2" s="1"/>
  <c r="G254" i="2" s="1"/>
  <c r="G255" i="2" s="1"/>
  <c r="G256" i="2" s="1"/>
  <c r="G257" i="2" s="1"/>
  <c r="G258" i="2" s="1"/>
  <c r="G259" i="2" s="1"/>
  <c r="R16" i="2"/>
  <c r="G17" i="2"/>
  <c r="G18" i="2" s="1"/>
  <c r="R203" i="2"/>
  <c r="G204" i="2"/>
  <c r="G205" i="2" s="1"/>
  <c r="R44" i="2"/>
  <c r="G45" i="2"/>
  <c r="R87" i="2"/>
  <c r="R618" i="2"/>
  <c r="G619" i="2"/>
  <c r="G620" i="2" s="1"/>
  <c r="R15" i="2"/>
  <c r="G562" i="2"/>
  <c r="G563" i="2" s="1"/>
  <c r="G564" i="2" s="1"/>
  <c r="G565" i="2" s="1"/>
  <c r="R561" i="2"/>
  <c r="G572" i="2"/>
  <c r="G573" i="2" s="1"/>
  <c r="G574" i="2" s="1"/>
  <c r="G575" i="2" s="1"/>
  <c r="G576" i="2" s="1"/>
  <c r="R571" i="2"/>
  <c r="G159" i="2"/>
  <c r="G160" i="2" s="1"/>
  <c r="G161" i="2" s="1"/>
  <c r="R146" i="2"/>
  <c r="G191" i="2"/>
  <c r="G533" i="2"/>
  <c r="R532" i="2"/>
  <c r="G494" i="2"/>
  <c r="G495" i="2" s="1"/>
  <c r="G496" i="2" s="1"/>
  <c r="G497" i="2" s="1"/>
  <c r="G498" i="2" s="1"/>
  <c r="G499" i="2" s="1"/>
  <c r="G500" i="2" s="1"/>
  <c r="G501" i="2" s="1"/>
  <c r="G502" i="2" s="1"/>
  <c r="G503" i="2" s="1"/>
  <c r="G504" i="2" s="1"/>
  <c r="R493" i="2"/>
  <c r="G108" i="2"/>
  <c r="R299" i="2"/>
  <c r="G300" i="2"/>
  <c r="G613" i="2"/>
  <c r="R612" i="2"/>
  <c r="G148" i="2"/>
  <c r="G409" i="2"/>
  <c r="G410" i="2" s="1"/>
  <c r="G411" i="2" s="1"/>
  <c r="G412" i="2" s="1"/>
  <c r="G413" i="2" s="1"/>
  <c r="G414" i="2" s="1"/>
  <c r="G308" i="2"/>
  <c r="R307" i="2"/>
  <c r="G638" i="2"/>
  <c r="R637" i="2"/>
  <c r="G547" i="2"/>
  <c r="R616" i="2"/>
  <c r="G313" i="2"/>
  <c r="R472" i="2" l="1"/>
  <c r="G534" i="2"/>
  <c r="G535" i="2" s="1"/>
  <c r="R533" i="2"/>
  <c r="R205" i="2"/>
  <c r="G206" i="2"/>
  <c r="G162" i="2"/>
  <c r="R161" i="2"/>
  <c r="G548" i="2"/>
  <c r="G549" i="2" s="1"/>
  <c r="R547" i="2"/>
  <c r="R473" i="2"/>
  <c r="G474" i="2"/>
  <c r="G475" i="2" s="1"/>
  <c r="G476" i="2" s="1"/>
  <c r="R620" i="2"/>
  <c r="G621" i="2"/>
  <c r="G622" i="2" s="1"/>
  <c r="G286" i="2"/>
  <c r="G287" i="2" s="1"/>
  <c r="R285" i="2"/>
  <c r="R414" i="2"/>
  <c r="G415" i="2"/>
  <c r="R148" i="2"/>
  <c r="G149" i="2"/>
  <c r="R300" i="2"/>
  <c r="G301" i="2"/>
  <c r="G46" i="2"/>
  <c r="R45" i="2"/>
  <c r="G192" i="2"/>
  <c r="G193" i="2" s="1"/>
  <c r="R191" i="2"/>
  <c r="G19" i="2"/>
  <c r="R18" i="2"/>
  <c r="G577" i="2"/>
  <c r="G578" i="2" s="1"/>
  <c r="R576" i="2"/>
  <c r="G260" i="2"/>
  <c r="G261" i="2" s="1"/>
  <c r="R259" i="2"/>
  <c r="G639" i="2"/>
  <c r="R638" i="2"/>
  <c r="R494" i="2"/>
  <c r="R308" i="2"/>
  <c r="G309" i="2"/>
  <c r="G310" i="2" s="1"/>
  <c r="G91" i="2"/>
  <c r="G92" i="2" s="1"/>
  <c r="R90" i="2"/>
  <c r="G478" i="2" l="1"/>
  <c r="G479" i="2" s="1"/>
  <c r="G480" i="2" s="1"/>
  <c r="G481" i="2" s="1"/>
  <c r="R481" i="2" s="1"/>
  <c r="G477" i="2"/>
  <c r="G47" i="2"/>
  <c r="G48" i="2" s="1"/>
  <c r="R46" i="2"/>
  <c r="G262" i="2"/>
  <c r="G263" i="2" s="1"/>
  <c r="G264" i="2" s="1"/>
  <c r="G265" i="2" s="1"/>
  <c r="G266" i="2" s="1"/>
  <c r="G267" i="2" s="1"/>
  <c r="G268" i="2" s="1"/>
  <c r="G269" i="2" s="1"/>
  <c r="G270" i="2" s="1"/>
  <c r="G271" i="2" s="1"/>
  <c r="G272" i="2" s="1"/>
  <c r="G273" i="2" s="1"/>
  <c r="G274" i="2" s="1"/>
  <c r="G275" i="2" s="1"/>
  <c r="G276" i="2" s="1"/>
  <c r="G277" i="2" s="1"/>
  <c r="G278" i="2" s="1"/>
  <c r="G279" i="2" s="1"/>
  <c r="G280" i="2" s="1"/>
  <c r="G281" i="2" s="1"/>
  <c r="R261" i="2"/>
  <c r="R415" i="2"/>
  <c r="G416" i="2"/>
  <c r="G417" i="2" s="1"/>
  <c r="G641" i="2"/>
  <c r="R639" i="2"/>
  <c r="G579" i="2"/>
  <c r="R578" i="2"/>
  <c r="G150" i="2"/>
  <c r="R149" i="2"/>
  <c r="G207" i="2"/>
  <c r="G208" i="2" s="1"/>
  <c r="G209" i="2" s="1"/>
  <c r="R206" i="2"/>
  <c r="G623" i="2"/>
  <c r="G624" i="2" s="1"/>
  <c r="R622" i="2"/>
  <c r="G302" i="2"/>
  <c r="R301" i="2"/>
  <c r="R162" i="2"/>
  <c r="G163" i="2"/>
  <c r="R92" i="2"/>
  <c r="G93" i="2"/>
  <c r="G20" i="2"/>
  <c r="R19" i="2"/>
  <c r="R287" i="2"/>
  <c r="G288" i="2"/>
  <c r="R478" i="2" l="1"/>
  <c r="G289" i="2"/>
  <c r="G290" i="2" s="1"/>
  <c r="R288" i="2"/>
  <c r="G164" i="2"/>
  <c r="R163" i="2"/>
  <c r="G151" i="2"/>
  <c r="R150" i="2"/>
  <c r="G49" i="2"/>
  <c r="R48" i="2"/>
  <c r="G418" i="2"/>
  <c r="G419" i="2" s="1"/>
  <c r="R417" i="2"/>
  <c r="G642" i="2"/>
  <c r="R641" i="2"/>
  <c r="R302" i="2"/>
  <c r="G303" i="2"/>
  <c r="G304" i="2" s="1"/>
  <c r="G210" i="2"/>
  <c r="G211" i="2" s="1"/>
  <c r="G212" i="2" s="1"/>
  <c r="G213" i="2" s="1"/>
  <c r="G214" i="2" s="1"/>
  <c r="G215" i="2" s="1"/>
  <c r="G216" i="2" s="1"/>
  <c r="G217" i="2" s="1"/>
  <c r="G218" i="2" s="1"/>
  <c r="R209" i="2"/>
  <c r="G21" i="2"/>
  <c r="R21" i="2" s="1"/>
  <c r="R20" i="2"/>
  <c r="G94" i="2"/>
  <c r="G95" i="2" s="1"/>
  <c r="R93" i="2"/>
  <c r="G580" i="2"/>
  <c r="G581" i="2" s="1"/>
  <c r="R579" i="2"/>
  <c r="R495" i="2"/>
  <c r="G582" i="2" l="1"/>
  <c r="R581" i="2"/>
  <c r="G96" i="2"/>
  <c r="R96" i="2" s="1"/>
  <c r="R95" i="2"/>
  <c r="R49" i="2"/>
  <c r="G50" i="2"/>
  <c r="R498" i="2"/>
  <c r="G643" i="2"/>
  <c r="R642" i="2"/>
  <c r="G219" i="2"/>
  <c r="G220" i="2" s="1"/>
  <c r="R218" i="2"/>
  <c r="G165" i="2"/>
  <c r="R164" i="2"/>
  <c r="G420" i="2"/>
  <c r="G421" i="2" s="1"/>
  <c r="G422" i="2" s="1"/>
  <c r="R419" i="2"/>
  <c r="G291" i="2"/>
  <c r="R290" i="2"/>
  <c r="R422" i="2" l="1"/>
  <c r="G423" i="2"/>
  <c r="G424" i="2" s="1"/>
  <c r="G425" i="2" s="1"/>
  <c r="G426" i="2" s="1"/>
  <c r="G427" i="2" s="1"/>
  <c r="G428" i="2" s="1"/>
  <c r="G429" i="2" s="1"/>
  <c r="G430" i="2" s="1"/>
  <c r="G51" i="2"/>
  <c r="G52" i="2" s="1"/>
  <c r="G53" i="2" s="1"/>
  <c r="G54" i="2" s="1"/>
  <c r="G55" i="2" s="1"/>
  <c r="G56" i="2" s="1"/>
  <c r="G57" i="2" s="1"/>
  <c r="G58" i="2" s="1"/>
  <c r="G59" i="2" s="1"/>
  <c r="G60" i="2" s="1"/>
  <c r="G61" i="2" s="1"/>
  <c r="G62" i="2" s="1"/>
  <c r="R50" i="2"/>
  <c r="G221" i="2"/>
  <c r="G222" i="2" s="1"/>
  <c r="G223" i="2" s="1"/>
  <c r="G224" i="2" s="1"/>
  <c r="G225" i="2" s="1"/>
  <c r="G226" i="2" s="1"/>
  <c r="G227" i="2" s="1"/>
  <c r="G228" i="2" s="1"/>
  <c r="G229" i="2" s="1"/>
  <c r="G230" i="2" s="1"/>
  <c r="G231" i="2" s="1"/>
  <c r="G232" i="2" s="1"/>
  <c r="G233" i="2" s="1"/>
  <c r="G234" i="2" s="1"/>
  <c r="G235" i="2" s="1"/>
  <c r="G236" i="2" s="1"/>
  <c r="R220" i="2"/>
  <c r="G644" i="2"/>
  <c r="R643" i="2"/>
  <c r="R500" i="2"/>
  <c r="G292" i="2"/>
  <c r="R291" i="2"/>
  <c r="G166" i="2"/>
  <c r="R165" i="2"/>
  <c r="G583" i="2"/>
  <c r="G584" i="2" s="1"/>
  <c r="R582" i="2"/>
  <c r="G505" i="2" l="1"/>
  <c r="G506" i="2" s="1"/>
  <c r="R504" i="2"/>
  <c r="R236" i="2"/>
  <c r="G237" i="2"/>
  <c r="G585" i="2"/>
  <c r="G586" i="2" s="1"/>
  <c r="G587" i="2" s="1"/>
  <c r="G588" i="2" s="1"/>
  <c r="G589" i="2" s="1"/>
  <c r="R584" i="2"/>
  <c r="G63" i="2"/>
  <c r="G64" i="2" s="1"/>
  <c r="G65" i="2" s="1"/>
  <c r="R62" i="2"/>
  <c r="G645" i="2"/>
  <c r="G646" i="2" s="1"/>
  <c r="R644" i="2"/>
  <c r="G431" i="2"/>
  <c r="G432" i="2" s="1"/>
  <c r="G433" i="2" s="1"/>
  <c r="R430" i="2"/>
  <c r="R292" i="2"/>
  <c r="G293" i="2"/>
  <c r="G167" i="2"/>
  <c r="R166" i="2"/>
  <c r="G434" i="2" l="1"/>
  <c r="G435" i="2" s="1"/>
  <c r="G436" i="2" s="1"/>
  <c r="G437" i="2" s="1"/>
  <c r="G438" i="2" s="1"/>
  <c r="G439" i="2" s="1"/>
  <c r="G440" i="2" s="1"/>
  <c r="G441" i="2" s="1"/>
  <c r="R433" i="2"/>
  <c r="G66" i="2"/>
  <c r="G67" i="2" s="1"/>
  <c r="G68" i="2" s="1"/>
  <c r="G69" i="2" s="1"/>
  <c r="G70" i="2" s="1"/>
  <c r="G71" i="2" s="1"/>
  <c r="G72" i="2" s="1"/>
  <c r="G73" i="2" s="1"/>
  <c r="R65" i="2"/>
  <c r="G590" i="2"/>
  <c r="G591" i="2" s="1"/>
  <c r="R589" i="2"/>
  <c r="G238" i="2"/>
  <c r="R237" i="2"/>
  <c r="G168" i="2"/>
  <c r="R167" i="2"/>
  <c r="R293" i="2"/>
  <c r="G294" i="2"/>
  <c r="G295" i="2" s="1"/>
  <c r="G507" i="2"/>
  <c r="G508" i="2" s="1"/>
  <c r="G509" i="2" s="1"/>
  <c r="G510" i="2" s="1"/>
  <c r="G511" i="2" s="1"/>
  <c r="R506" i="2"/>
  <c r="G169" i="2" l="1"/>
  <c r="R168" i="2"/>
  <c r="R295" i="2"/>
  <c r="G296" i="2"/>
  <c r="R238" i="2"/>
  <c r="G239" i="2"/>
  <c r="G592" i="2"/>
  <c r="G593" i="2" s="1"/>
  <c r="G594" i="2" s="1"/>
  <c r="G595" i="2" s="1"/>
  <c r="G596" i="2" s="1"/>
  <c r="G597" i="2" s="1"/>
  <c r="R591" i="2"/>
  <c r="G512" i="2"/>
  <c r="G513" i="2" s="1"/>
  <c r="G514" i="2" s="1"/>
  <c r="G515" i="2" s="1"/>
  <c r="G516" i="2" s="1"/>
  <c r="G517" i="2" s="1"/>
  <c r="G518" i="2" s="1"/>
  <c r="G519" i="2" s="1"/>
  <c r="G520" i="2" s="1"/>
  <c r="G521" i="2" s="1"/>
  <c r="R511" i="2"/>
  <c r="G442" i="2"/>
  <c r="G443" i="2" s="1"/>
  <c r="G444" i="2" s="1"/>
  <c r="R441" i="2"/>
  <c r="G522" i="2" l="1"/>
  <c r="G523" i="2" s="1"/>
  <c r="G524" i="2" s="1"/>
  <c r="G525" i="2" s="1"/>
  <c r="G526" i="2" s="1"/>
  <c r="R521" i="2"/>
  <c r="R444" i="2"/>
  <c r="G445" i="2"/>
  <c r="G446" i="2" s="1"/>
  <c r="G447" i="2" s="1"/>
  <c r="G448" i="2" s="1"/>
  <c r="G449" i="2" s="1"/>
  <c r="G450" i="2" s="1"/>
  <c r="G451" i="2" s="1"/>
  <c r="G452" i="2" s="1"/>
  <c r="G453" i="2" s="1"/>
  <c r="G454" i="2" s="1"/>
  <c r="G455" i="2" s="1"/>
  <c r="G456" i="2" s="1"/>
  <c r="G457" i="2" s="1"/>
  <c r="G458" i="2" s="1"/>
  <c r="G459" i="2" s="1"/>
  <c r="G460" i="2" s="1"/>
  <c r="G461" i="2" s="1"/>
  <c r="G462" i="2" s="1"/>
  <c r="G463" i="2" s="1"/>
  <c r="G464" i="2" s="1"/>
  <c r="G465" i="2" s="1"/>
  <c r="G466" i="2" s="1"/>
  <c r="G467" i="2" s="1"/>
  <c r="G598" i="2"/>
  <c r="G599" i="2" s="1"/>
  <c r="G600" i="2" s="1"/>
  <c r="G601" i="2" s="1"/>
  <c r="G602" i="2" s="1"/>
  <c r="G603" i="2" s="1"/>
  <c r="G604" i="2" s="1"/>
  <c r="G605" i="2" s="1"/>
  <c r="R597" i="2"/>
  <c r="G240" i="2"/>
  <c r="G241" i="2" s="1"/>
  <c r="R239" i="2"/>
  <c r="G170" i="2"/>
  <c r="R169" i="2"/>
  <c r="G171" i="2" l="1"/>
  <c r="G172" i="2" s="1"/>
  <c r="R170" i="2"/>
  <c r="G606" i="2"/>
  <c r="R605" i="2"/>
  <c r="G527" i="2"/>
  <c r="G528" i="2" s="1"/>
  <c r="G529" i="2" s="1"/>
  <c r="R526" i="2"/>
  <c r="G607" i="2" l="1"/>
  <c r="G608" i="2" s="1"/>
  <c r="R606" i="2"/>
  <c r="R172" i="2"/>
  <c r="G173" i="2"/>
  <c r="G174" i="2" s="1"/>
  <c r="G175" i="2" s="1"/>
  <c r="G176" i="2" s="1"/>
  <c r="G177" i="2" s="1"/>
  <c r="G178" i="2" s="1"/>
  <c r="G179" i="2" s="1"/>
  <c r="G180" i="2" l="1"/>
  <c r="R180" i="2" s="1"/>
  <c r="R17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tc={979FEB88-35ED-42A4-B16D-72A8EA51F86E}</author>
    <author>tc={7B7DB403-13A6-49C7-8232-9390A5B0565F}</author>
    <author>tc={7BD52E1E-3F97-45DC-9E5B-44371D95324F}</author>
    <author>tc={BE559381-BF24-43F3-BA00-051DB1A2376A}</author>
    <author>tc={4EB8AF6F-099D-4DDF-B111-EF91688455E9}</author>
    <author>tc={D038897E-2F87-4351-A3C8-B3D62C34F90B}</author>
  </authors>
  <commentList>
    <comment ref="H92" authorId="0" shapeId="0" xr:uid="{979FEB88-35ED-42A4-B16D-72A8EA51F86E}">
      <text>
        <t xml:space="preserve">[Threaded comment]
Your version of Excel allows you to read this threaded comment; however, any edits to it will get removed if the file is opened in a newer version of Excel. Learn more: https://go.microsoft.com/fwlink/?linkid=870924
Comment:
    Should these be combined? I know in Nigeria it was common for PPMVs to be registered but not licensed because the license only lasted 2 yeas and it took so long to get it. Do they have to have both to answer yes to this? </t>
      </text>
    </comment>
    <comment ref="H120" authorId="1" shapeId="0" xr:uid="{7B7DB403-13A6-49C7-8232-9390A5B0565F}">
      <text>
        <t xml:space="preserve">[Threaded comment]
Your version of Excel allows you to read this threaded comment; however, any edits to it will get removed if the file is opened in a newer version of Excel. Learn more: https://go.microsoft.com/fwlink/?linkid=870924
Comment:
    Should "Observe" be added for these three as it is done for RDT storage below? </t>
      </text>
    </comment>
    <comment ref="H141" authorId="2" shapeId="0" xr:uid="{7BD52E1E-3F97-45DC-9E5B-44371D95324F}">
      <text>
        <t xml:space="preserve">[Threaded comment]
Your version of Excel allows you to read this threaded comment; however, any edits to it will get removed if the file is opened in a newer version of Excel. Learn more: https://go.microsoft.com/fwlink/?linkid=870924
Comment:
    I don't understand the sub question. A provider could have different responses to what is recommended by the government and what they think works best. Are they only supposed to ask the second part fi they don't have an answer to the first part? What do we want to know with this question? </t>
      </text>
    </comment>
    <comment ref="H142" authorId="3" shapeId="0" xr:uid="{BE559381-BF24-43F3-BA00-051DB1A2376A}">
      <text>
        <t xml:space="preserve">[Threaded comment]
Your version of Excel allows you to read this threaded comment; however, any edits to it will get removed if the file is opened in a newer version of Excel. Learn more: https://go.microsoft.com/fwlink/?linkid=870924
Comment:
    How are they getting the generic name and dosage from the provider? What if they name a brand name is there a way to search this? Do they ask which "dosage form" and that makes sense to the providers or do they read the list? </t>
      </text>
    </comment>
    <comment ref="H173" authorId="4" shapeId="0" xr:uid="{4EB8AF6F-099D-4DDF-B111-EF91688455E9}">
      <text>
        <t>[Threaded comment]
Your version of Excel allows you to read this threaded comment; however, any edits to it will get removed if the file is opened in a newer version of Excel. Learn more: https://go.microsoft.com/fwlink/?linkid=870924
Comment:
    What is included in the term "managing sales"? If I use mobile money to receive money from clients does that count? What other activities would count?</t>
      </text>
    </comment>
    <comment ref="H205" authorId="5" shapeId="0" xr:uid="{D038897E-2F87-4351-A3C8-B3D62C34F90B}">
      <text>
        <t xml:space="preserve">[Threaded comment]
Your version of Excel allows you to read this threaded comment; however, any edits to it will get removed if the file is opened in a newer version of Excel. Learn more: https://go.microsoft.com/fwlink/?linkid=870924
Comment:
    Does the slash mean antimalarials OR RDTs? </t>
      </text>
    </comment>
  </commentList>
</comments>
</file>

<file path=xl/sharedStrings.xml><?xml version="1.0" encoding="utf-8"?>
<sst xmlns="http://schemas.openxmlformats.org/spreadsheetml/2006/main" count="5668" uniqueCount="2591">
  <si>
    <t>ACTwatch Lite Quantitative Questionnaire ODK Form</t>
  </si>
  <si>
    <t>This workbook contains the full outlet survey questionnaire formatted for ODK data collection</t>
  </si>
  <si>
    <t>Note this workbook should be uploaded to SurveyCTO or your data collection platform along with all files in the "additional files" folder (extrabuttons.fieldplugin.zip, AMmasterlist.csv, and RDTmasterlist.csv)</t>
  </si>
  <si>
    <t xml:space="preserve">
BUDGET NOTES FOR ACTWATCH LITE STUDY</t>
  </si>
  <si>
    <t>GENERAL GUIDANCE</t>
  </si>
  <si>
    <t>TOOL STRUCTURE</t>
  </si>
  <si>
    <t>The tool is structured according to a typical XLSForm format for ODK and includes the following worksheets:
survey: Contains the question content, logic, and structure for digital deployment. Column A and B provide an outline for the questionnaire which map back to the ACTwatch Lite Indicator Table
choices: Provides multiple-choice answer options linked to relevant questions.
settings: Standard XLSForm metadata for form title and version.
Users can customize this form based on their context, removing sections not relevant to their study (e.g., RDTs, services) or adding country-specific questions, codes and logic.</t>
  </si>
  <si>
    <t>QUESTIONNAIRE CONTENT</t>
  </si>
  <si>
    <t>Census information</t>
  </si>
  <si>
    <t>Captures basic identification and location information for all private outlets in the cluster, including outlet type and GPS</t>
  </si>
  <si>
    <t>Screening, eligibility, and consent</t>
  </si>
  <si>
    <t>Determines outlet eligibility based on antimalarial and blood testing availability. Includes informed consent process and reason for refusal or ineligibility.</t>
  </si>
  <si>
    <t>Provider Module - Section 1: Outlet charecteristics</t>
  </si>
  <si>
    <t>Collects data on license status, operating hours, years of operation, and scope of services (diagnosis, treatment, or both).</t>
  </si>
  <si>
    <t>Captures information on the respondent and other staff, including training, qualifications.</t>
  </si>
  <si>
    <t>Provider Module - Section 3: Quality control and compliance</t>
  </si>
  <si>
    <t>Assesses inspection/ supervision history, adherence to national guidelines, and participation in quality assurance protocols.</t>
  </si>
  <si>
    <t>Provider Module - Section 4: Respondent malaria knowledge</t>
  </si>
  <si>
    <t>Evaluates the provider’s knowledge of malaria transmission, symptoms, treatment, and guidelines such as test-before-treat.</t>
  </si>
  <si>
    <t>Provider Module - Section 5: Outlet tech/ digital access &amp; use</t>
  </si>
  <si>
    <t>Collects information on access to internet, smartphones, digital ordering tools, and electronic reporting (e.g., DHIS2).</t>
  </si>
  <si>
    <t>Provider Module - Section 6: Outlet participation in monitoring</t>
  </si>
  <si>
    <t>Documents participation in routine data reporting, supervision visits, or monitoring by government or partners.</t>
  </si>
  <si>
    <t>Provider Module - Section 7: Business practices</t>
  </si>
  <si>
    <t>Explores customer and supplier details for malaria commodities as well as payment and distribution practices</t>
  </si>
  <si>
    <t>Supplier information</t>
  </si>
  <si>
    <t>Captures names and characteristics of the outlet’s suppliers, delivery methods, and supplier reliability.</t>
  </si>
  <si>
    <t>Antimalarial Audit Section</t>
  </si>
  <si>
    <t>Structured inventory of all antimalarials, with details on brand, form, active ingredients, strength, manufacturer, price, and volumes sold</t>
  </si>
  <si>
    <t>Antimalarial Stockout Section</t>
  </si>
  <si>
    <t>Captures recent antimalarial stockout details</t>
  </si>
  <si>
    <t>RDT audit</t>
  </si>
  <si>
    <t>Structured inventory of RDTs, capturing type, manufacturer, packaging, price, and volumes sold</t>
  </si>
  <si>
    <t>RDT stockout section</t>
  </si>
  <si>
    <t>Captures recent RDT stockout details</t>
  </si>
  <si>
    <t>Microscopy volume and costs</t>
  </si>
  <si>
    <t>If microscopy is offered, collects number of tests performed, and price charged.</t>
  </si>
  <si>
    <t>End of Interview</t>
  </si>
  <si>
    <t>Wraps up interview with metadata on survey completeness, interruptions, and duration.</t>
  </si>
  <si>
    <t>EXPECTED OUTPUTS</t>
  </si>
  <si>
    <t xml:space="preserve">Use this tool to produce a standardized, but adapted questionnaire for your market study. 
The output of using your adapted questionnaire in the field will be a standardized dataset of outlet-level information on product availability, price, and market share, stock outs, outlet charcteristics and provider knowledge and business practices 
This output feeds directly in to the analysis plan and indicator framework provided in the toolkit. </t>
  </si>
  <si>
    <t>INSTRUCTIONS FOR USE</t>
  </si>
  <si>
    <r>
      <t xml:space="preserve">1. Review the outline columns in the 'survey' tab to understand how each question links to the indicators from the Indicator Table
2. Modify the 'survey' and 'choices' tabs as needed to reflect your context. Instructions for where country-specific inputs are required are in </t>
    </r>
    <r>
      <rPr>
        <sz val="10"/>
        <color rgb="FFC00000"/>
        <rFont val="Roboto Light"/>
      </rPr>
      <t>RED CAPS</t>
    </r>
    <r>
      <rPr>
        <sz val="10"/>
        <color theme="1"/>
        <rFont val="Roboto Light"/>
      </rPr>
      <t xml:space="preserve"> throughout
3. Translate the finalized ODK XLS Form into your desired language(s) using standard ODK procedures. 
4. Upload the form into your ODK-compatible data collection platform (e.g. SurveyCTO, Kobo, ODKcollect) 
5. Set up and execute a plan for extensively testing the form for any bugs or additional edits needed 
5. Train enumerators using the ACTwatch Lite Training Mateirals and ensure they are familar with the skip logic, repsonse option types, and how to use the search function for finding known product details. Refer to the Manual for more information on this.
6. Pilot test the form in-country and make final revisions as needed. </t>
    </r>
  </si>
  <si>
    <t>OUTLINE</t>
  </si>
  <si>
    <t>NOTES</t>
  </si>
  <si>
    <t>type</t>
  </si>
  <si>
    <t>name</t>
  </si>
  <si>
    <t>question</t>
  </si>
  <si>
    <t>section</t>
  </si>
  <si>
    <t>question_no</t>
  </si>
  <si>
    <t>field_label_en</t>
  </si>
  <si>
    <t>hint:English</t>
  </si>
  <si>
    <t>constraint_message:English</t>
  </si>
  <si>
    <t>constraint</t>
  </si>
  <si>
    <t>relevant</t>
  </si>
  <si>
    <t>calculation</t>
  </si>
  <si>
    <t>appearance</t>
  </si>
  <si>
    <t>choice_filter</t>
  </si>
  <si>
    <t>required</t>
  </si>
  <si>
    <t>default</t>
  </si>
  <si>
    <t>label:English</t>
  </si>
  <si>
    <t>Add french labels here!</t>
  </si>
  <si>
    <t>hint:French</t>
  </si>
  <si>
    <t>constraint_message:French</t>
  </si>
  <si>
    <t>ODK metadata; do not remove</t>
  </si>
  <si>
    <t>start</t>
  </si>
  <si>
    <t>starttime</t>
  </si>
  <si>
    <t>end</t>
  </si>
  <si>
    <t>endtime</t>
  </si>
  <si>
    <t>deviceid</t>
  </si>
  <si>
    <t>subscriberid</t>
  </si>
  <si>
    <t>simserial</t>
  </si>
  <si>
    <t>simid</t>
  </si>
  <si>
    <t>ODK metadata; do not remove -- IF USING SURVEYCTO YOU MAY WANT TO ADD DURATION AND DEVICE_INFO CALCULATE FIELDS</t>
  </si>
  <si>
    <t>phonenumber</t>
  </si>
  <si>
    <t>REQUIRES INPUT/EDIT TO LABEL- add country name and year</t>
  </si>
  <si>
    <t>note</t>
  </si>
  <si>
    <t>note_intro</t>
  </si>
  <si>
    <r>
      <rPr>
        <sz val="10"/>
        <color theme="1"/>
        <rFont val="Roboto"/>
      </rPr>
      <t>&lt;span style="text-align:center"&gt;&lt;h4&gt;ACTwatch Lite Market Survey</t>
    </r>
    <r>
      <rPr>
        <sz val="10"/>
        <color rgb="FFC00000"/>
        <rFont val="Roboto Light"/>
      </rPr>
      <t xml:space="preserve"> [COUNTRY NAME AND YEAR]</t>
    </r>
    <r>
      <rPr>
        <sz val="10"/>
        <color theme="1"/>
        <rFont val="Roboto Light"/>
      </rPr>
      <t>&lt;br&gt;
&lt;font color=blue&gt;Outlet Questionnaire&lt;/font&gt;&lt;/h4&gt;&lt;/span&gt;
&lt;br&gt;&lt;span style="text-align:center"&gt;&lt;h4&gt;Welcome&lt;/h4&gt;&lt;/span&gt;</t>
    </r>
  </si>
  <si>
    <r>
      <rPr>
        <sz val="10"/>
        <color rgb="FF7F7F7F"/>
        <rFont val="Roboto"/>
      </rPr>
      <t xml:space="preserve">&lt;span style="text-align:center"&gt;&lt;h4&gt;ACTwatch Lite </t>
    </r>
    <r>
      <rPr>
        <sz val="10"/>
        <color rgb="FFC00000"/>
        <rFont val="Roboto Light"/>
      </rPr>
      <t>[Pays année]</t>
    </r>
    <r>
      <rPr>
        <sz val="10"/>
        <color rgb="FF7F7F7F"/>
        <rFont val="Roboto Light"/>
      </rPr>
      <t>&lt;br&gt;
&lt;font color=blue&gt;Questionnaire sur les points de vente&lt;/font&gt;&lt;/h4&gt;&lt;/span&gt;
&lt;br&gt;&lt;span style="text-align:center"&gt;&lt;h4&gt;Bienvenue&lt;/h4&gt;&lt;/span&gt;</t>
    </r>
  </si>
  <si>
    <t>date</t>
  </si>
  <si>
    <t xml:space="preserve">Confirm today's date: </t>
  </si>
  <si>
    <t>today()</t>
  </si>
  <si>
    <t>yes</t>
  </si>
  <si>
    <t xml:space="preserve">Confirmer la date du jour : </t>
  </si>
  <si>
    <t>CENSUS AND SCREENING MODULE</t>
  </si>
  <si>
    <t xml:space="preserve">These sections capture information on the outlet location, type, etc. and runs through eligibility screening and seeking consent. All ACTwatch Lite quantitative surveys should include these sections. </t>
  </si>
  <si>
    <t>Census information [completed outside of the outlet]</t>
  </si>
  <si>
    <t>This section is REQUIRED. 
These data are used to dissagregate by outlet type and area (e.g. urban/ rural). This information is also used for market composition and market share Priority Indicators
All outlets will complete this group; but informal outlets will not include specific location information and supplementary forms will confirm outlet id with a photo</t>
  </si>
  <si>
    <t>begin group</t>
  </si>
  <si>
    <t>CENSUS_DATA</t>
  </si>
  <si>
    <t>no</t>
  </si>
  <si>
    <t>SECTION 1: CENSUS INFORMATION</t>
  </si>
  <si>
    <t>The interviewer must complete this section for all outlets.</t>
  </si>
  <si>
    <t>SECTION 1 : INFORMATIONS SUR LE RECENSEMENT</t>
  </si>
  <si>
    <t>L'enquêteur doit remplir cette section pour tous les points de vente.</t>
  </si>
  <si>
    <t>INST_census1</t>
  </si>
  <si>
    <t xml:space="preserve">&lt;br&gt;&lt;br&gt;&lt;h4&gt;Section 1: CENSUS INFORMATION&lt;/h4&gt;&lt;br&gt;
&lt;br&gt;
&lt;font color="blue"&gt; 
&lt;b&gt; Interviewer: &lt;/b&gt;&lt;br&gt;
 &lt;i&gt;Complete the following questions &lt;br&gt;&lt;b&gt;BEFORE ENTERING THE OUTLET. &lt;/b&gt;&lt;/i&gt;
</t>
  </si>
  <si>
    <t>&lt;br&gt;&lt;br&gt;&lt;h4&gt;Section 1 : INFORMATIONS SUR LE RECENSEMENT&lt;/h4&gt;&lt;br&gt;
&lt;br&gt;
&lt;font color="blue"&gt;
&lt;b&gt;Enquêteur : &lt;/b&gt;&lt;br&gt;
&lt;i&gt;Répondez aux questions suivantes &lt;br&gt;&lt;b&gt;AVANT D'ENTRER DANS LE POINT DE VENTE. &lt;/b&gt;&lt;/i&gt;</t>
  </si>
  <si>
    <t>REQUIRES INPUT/EDIT TO CHOICES</t>
  </si>
  <si>
    <t>select_one equipe</t>
  </si>
  <si>
    <t>team</t>
  </si>
  <si>
    <t>Field team</t>
  </si>
  <si>
    <t>Équipe de terrain</t>
  </si>
  <si>
    <t>select_one interviewer</t>
  </si>
  <si>
    <t>c1a</t>
  </si>
  <si>
    <t>&lt;br&gt;Your name</t>
  </si>
  <si>
    <t>filtre=${team}</t>
  </si>
  <si>
    <t>&lt;br&gt;Votre nom</t>
  </si>
  <si>
    <t>calculate</t>
  </si>
  <si>
    <t>c1b</t>
  </si>
  <si>
    <t>jr:choice-name(selected-at(${c1a},0), '${c1a}')</t>
  </si>
  <si>
    <t>REQUIRES INPUT/EDIT TO CHOICES &amp; LABEL - use relevant administrative areas for your country</t>
  </si>
  <si>
    <t>select_one adm1</t>
  </si>
  <si>
    <t>c2</t>
  </si>
  <si>
    <t>&lt;br&gt;State</t>
  </si>
  <si>
    <t>&lt;br&gt;État</t>
  </si>
  <si>
    <t>select_one adm2</t>
  </si>
  <si>
    <t>c3</t>
  </si>
  <si>
    <t>&lt;br&gt;Local government area</t>
  </si>
  <si>
    <t>filtre=${c2}</t>
  </si>
  <si>
    <t>&lt;br&gt;Territoire de l'administration locale</t>
  </si>
  <si>
    <t>select_one adm3_cluster</t>
  </si>
  <si>
    <t>c4</t>
  </si>
  <si>
    <t>&lt;br&gt; Ward</t>
  </si>
  <si>
    <t>filtre=${c3}</t>
  </si>
  <si>
    <t>select_one auditlevel</t>
  </si>
  <si>
    <t>auditlevel</t>
  </si>
  <si>
    <t xml:space="preserve">Is this a retail outlet or wholesale outlet? </t>
  </si>
  <si>
    <t xml:space="preserve">Note - wholesale outlets are those which have been identified as suppliers from retail level interviews. If you are not sure if the outlet re-sells products wholesale, select retail before entering the shop, select retail here. </t>
  </si>
  <si>
    <t xml:space="preserve">S'agit-il d'un point de vente au détail ou d'un point de vente en gros ? </t>
  </si>
  <si>
    <t>Remarque : les points de vente en gros sont ceux qui ont été identifiés comme fournisseurs à partir d'interviews au niveau du commerce de détail. Si vous n'êtes pas sûr que le point de vente revend des produits en gros, sélectionnez "vente au détail" avant d'entrer dans le magasin, sélectionnez "vente au détail" ici.</t>
  </si>
  <si>
    <t>select_one outlettype_r</t>
  </si>
  <si>
    <t>c7_r</t>
  </si>
  <si>
    <t>6A</t>
  </si>
  <si>
    <t>&lt;br&gt; Type of outlet</t>
  </si>
  <si>
    <t>${auditlevel}=1</t>
  </si>
  <si>
    <t>&lt;br&gt;Type de point de vente</t>
  </si>
  <si>
    <t>select_one outlettype_ws</t>
  </si>
  <si>
    <t>c7_ws</t>
  </si>
  <si>
    <t>6B</t>
  </si>
  <si>
    <t xml:space="preserve">&lt;br&gt; Type of wholesaler </t>
  </si>
  <si>
    <t>${auditlevel}=2</t>
  </si>
  <si>
    <t xml:space="preserve">&lt;br&gt;Type de grossiste </t>
  </si>
  <si>
    <t>text</t>
  </si>
  <si>
    <t>c7_other</t>
  </si>
  <si>
    <t>&lt;br&gt;* Other, specify</t>
  </si>
  <si>
    <t>selected(${c7_r},'96') or selected(${c7_ws},'96')</t>
  </si>
  <si>
    <t>&lt;br&gt;* Autre, précisez</t>
  </si>
  <si>
    <t>c7</t>
  </si>
  <si>
    <t>summarize outlet type</t>
  </si>
  <si>
    <t>if((${auditlevel}=1),${c7_r},${c7_ws})</t>
  </si>
  <si>
    <t>résumer le type de point de vente</t>
  </si>
  <si>
    <t>inf</t>
  </si>
  <si>
    <t xml:space="preserve">outlet is informal - use this variable for skip logic </t>
  </si>
  <si>
    <t>if(( ${c7}=22 or ${c7}=25 or ${c7}=26), 1,0)</t>
  </si>
  <si>
    <t xml:space="preserve">Si point de vente est informel - utiliser cette variable pour les sauts </t>
  </si>
  <si>
    <t>c6</t>
  </si>
  <si>
    <t>&lt;br&gt;outlet/ business name</t>
  </si>
  <si>
    <t>If no name, record "no name"</t>
  </si>
  <si>
    <t xml:space="preserve">${inf}!=1 </t>
  </si>
  <si>
    <t>&lt;br&gt;nom du point de vente/nom de la société commerciale</t>
  </si>
  <si>
    <t>S'il n'y a pas de nom, enregistrez « pas de nom »</t>
  </si>
  <si>
    <t>geopoint</t>
  </si>
  <si>
    <t>gps</t>
  </si>
  <si>
    <t>GPS coordinates</t>
  </si>
  <si>
    <t>${inf}!=1</t>
  </si>
  <si>
    <t>Coordonnées GPS</t>
  </si>
  <si>
    <t>randomnum</t>
  </si>
  <si>
    <t>once(random())</t>
  </si>
  <si>
    <t>outletnum</t>
  </si>
  <si>
    <t>substr(${randomnum},2,8)</t>
  </si>
  <si>
    <t>outletid</t>
  </si>
  <si>
    <t>concat("1-", ${c4}, "-", ${outletnum})</t>
  </si>
  <si>
    <t>end group</t>
  </si>
  <si>
    <t>&lt;expand section here</t>
  </si>
  <si>
    <t>Screening, eligibility, and consent [completed inside the outlet with staff]</t>
  </si>
  <si>
    <t>This section is REQUIRED. 
These data are used to assess the eligibility of each outlet and obtain content to participate if eligible. 
All outle types will complete this group.</t>
  </si>
  <si>
    <t>ELIGIBILITY_CONSENT</t>
  </si>
  <si>
    <t>SECTION 2: SCREENING AND ELIGIBILITY</t>
  </si>
  <si>
    <t>SECTION 2 : CRIBLAGE ET ÉLIGIBILITÉ</t>
  </si>
  <si>
    <t>REQUIRES INPUT/EDIT TO  LABEL - add country name and organization info</t>
  </si>
  <si>
    <t>select_one lblyesno</t>
  </si>
  <si>
    <t>canscreen</t>
  </si>
  <si>
    <t>&lt;br&gt;&lt;br&gt;&lt;h4&gt;Section 2: SCREENING AND ELIGIBILITY&lt;/h4&gt;&lt;br&gt;&lt;br&gt;
&lt;font color="blue"&gt; 
&lt;b&gt; Now proceed in to the outlet and introduce yourself and the study. &lt;br&gt;
&lt;br&gt;Interviewer prompt: &lt;/b&gt;&lt;br&gt;
Hello, my name is ${c1b}. I work for [XXXXX]. We are conducting a study on the availability of antimalarial drugs and malaria screening services in outlet/ businesses like yours in [COUNTRY]. The results will help us improve the availability of appropriate drugs and treatment of malaria in [COUNTRY]. I would like to ask you some questions to see if you can participate in this study. If you are eligible, you are under no obligation to participate, as it is completely voluntary. I would also like to assure you that the answers you give will remain confidential. We won't pass on your details to the authorities, and you won't have to fear any reprisals.
&lt;/font&gt;
&lt;br&gt;&lt;br&gt;
&lt;b&gt;INTERVIEWER:&lt;/b&gt;&lt;br&gt;Are you able to screen this outlet/ business for participation in the study?</t>
  </si>
  <si>
    <r>
      <rPr>
        <sz val="10"/>
        <color rgb="FF7F7F7F"/>
        <rFont val="Roboto"/>
      </rPr>
      <t xml:space="preserve">&lt;br&gt;&lt;br&gt;&lt;h4&gt;Section 2 : CRIBLAGE ET ÉLIGIBILITÉ&lt;/h4&gt;&lt;br&gt;&lt;br&gt;&lt;br&gt;
&lt;font color="blue"&gt;
&lt;b&gt;À présent, entrez dans le point de vente et présentez-vous, ainsi que l'étude.&lt;/b&gt;.
&lt;br&gt;Question de l'enquêteur : &lt;/b&gt;&lt;br&gt;.
Bonjour, je m'appelle ${c1b}. Je travaille pour </t>
    </r>
    <r>
      <rPr>
        <sz val="10"/>
        <color rgb="FFC00000"/>
        <rFont val="Roboto Light"/>
      </rPr>
      <t xml:space="preserve">[Agence] </t>
    </r>
    <r>
      <rPr>
        <sz val="10"/>
        <color rgb="FF000000"/>
        <rFont val="Roboto Light"/>
      </rPr>
      <t>et PSI-</t>
    </r>
    <r>
      <rPr>
        <sz val="10"/>
        <color rgb="FFC00000"/>
        <rFont val="Roboto Light"/>
      </rPr>
      <t>[Pays]</t>
    </r>
    <r>
      <rPr>
        <sz val="10"/>
        <color rgb="FF000000"/>
        <rFont val="Roboto Light"/>
      </rPr>
      <t>. Nous menons une étude sur la disponibilité des médicaments antipaludiques et des services de dépistage du paludisme dans les points de vente/entreprises comme le vôtre au</t>
    </r>
    <r>
      <rPr>
        <sz val="10"/>
        <color rgb="FFC00000"/>
        <rFont val="Roboto Light"/>
      </rPr>
      <t xml:space="preserve"> [Pays]</t>
    </r>
    <r>
      <rPr>
        <sz val="10"/>
        <color rgb="FF000000"/>
        <rFont val="Roboto Light"/>
      </rPr>
      <t xml:space="preserve">. Les résultats nous aideront à améliorer la disponibilité des médicaments appropriés et le traitement du paludisme au </t>
    </r>
    <r>
      <rPr>
        <sz val="10"/>
        <color rgb="FFC00000"/>
        <rFont val="Roboto Light"/>
      </rPr>
      <t>[Pays]</t>
    </r>
    <r>
      <rPr>
        <sz val="10"/>
        <color rgb="FF000000"/>
        <rFont val="Roboto Light"/>
      </rPr>
      <t xml:space="preserve">. Je voudrais vous poser quelques questions pour savoir si vous êtes éligible pour participer à cette étude. Si vous êtes éligible, vous n'êtes pas obligé de participer, car il s'agit d'une démarche totalement volontaire. Je tiens également à vous assurer que les réponses que vous donnerez resteront confidentielles. Nous ne transmettrons pas des détails sur vos informations aux autorités et vous n'aurez pas à craindre de représailles.
&lt;/font&gt;
&lt;br&gt;&lt;br&gt;
&lt;b&gt;ENQUETEUR:&lt;/b&gt;&lt;br&gt;Etes-vous en mesure de </t>
    </r>
    <r>
      <rPr>
        <sz val="10"/>
        <color rgb="FF7F7F7F"/>
        <rFont val="Roboto Light"/>
      </rPr>
      <t>cribler</t>
    </r>
    <r>
      <rPr>
        <sz val="10"/>
        <color rgb="FF000000"/>
        <rFont val="Roboto Light"/>
      </rPr>
      <t xml:space="preserve"> ce point de vente/cette entreprise pour participer à l'étude ?</t>
    </r>
  </si>
  <si>
    <t>select_one lblnoscreen</t>
  </si>
  <si>
    <t>cantscreen</t>
  </si>
  <si>
    <t>&lt;b&gt;INTERVIEWER&lt;/b&gt;&lt;br&gt;Why are you not able to screen this outlet/business for eligibility in the study?</t>
  </si>
  <si>
    <t>${canscreen}=0</t>
  </si>
  <si>
    <t>&lt;b&gt;ENQUETEUR&lt;/b&gt;&lt;br&gt;Pourquoi n'êtes-vous pas en mesure de cribler ce point de vente/entreprise ?</t>
  </si>
  <si>
    <t>cantscreen_other</t>
  </si>
  <si>
    <t>Specify other reason:</t>
  </si>
  <si>
    <t>${cantscreen}=96</t>
  </si>
  <si>
    <t>Précisez une autre raison :</t>
  </si>
  <si>
    <t>Only outlets that can be screened will complete this group</t>
  </si>
  <si>
    <t>eligibility</t>
  </si>
  <si>
    <t>Inclusion criteria:</t>
  </si>
  <si>
    <t>${canscreen}=1</t>
  </si>
  <si>
    <t>field-list</t>
  </si>
  <si>
    <t>Critères d'inclusion :</t>
  </si>
  <si>
    <t>s3</t>
  </si>
  <si>
    <t>&lt;br&gt; Do you have any antimalarial medicine in stock today?</t>
  </si>
  <si>
    <t>&lt;br&gt;Avez-vous des médicaments antipaludiques en stock aujourd'hui ?</t>
  </si>
  <si>
    <t>s5a</t>
  </si>
  <si>
    <t>&lt;br&gt; Is malaria microscopy screening available here today?</t>
  </si>
  <si>
    <t>&lt;br&gt;Le test de dépistage du paludisme par microscopie est-il disponible ici aujourd'hui?</t>
  </si>
  <si>
    <t>s5b</t>
  </si>
  <si>
    <t>&lt;br&gt; Are malaria rapid diagnostic tests (RDTs) available here today?</t>
  </si>
  <si>
    <t>If asked what an RDT is, explain: a rapid diagnostic test for malaria, also known as a RDT, is a small, individually wrapped blood test that quickly diagnoses whether a person has malaria.</t>
  </si>
  <si>
    <t>&lt;br&gt;Les tests de diagnostic rapide (TDR) du paludisme sont-ils disponibles aujourd'hui ?</t>
  </si>
  <si>
    <t>Si on vous demande ce qu’est un TDR, expliquez : un test de diagnostic rapide du paludisme, également appelé TDR, est un petit test sanguin emballé individuellement qui permet de diagnostiquer rapidement si une personne est atteinte de paludisme.</t>
  </si>
  <si>
    <t>select_one lblyesno_dk</t>
  </si>
  <si>
    <t>s4</t>
  </si>
  <si>
    <t>&lt;br&gt; Are there any antimalarials that are out of stock today, but that you have offered for sale in the &lt;b&gt;last 3 months&lt;/b&gt;?</t>
  </si>
  <si>
    <t>selected(${s3},'0')</t>
  </si>
  <si>
    <t>&lt;br&gt;Y a-t-il des antipaludiques qui ne sont plus en stock aujourd'hui, mais que vous avez mis en vente au cours des &lt;b&gt;3 derniers mois&lt;/b&gt; ?</t>
  </si>
  <si>
    <t>s6</t>
  </si>
  <si>
    <t>&lt;br&gt; Have you stocked any malaria rapid diagnostic tests (RDTs) in the &lt;b&gt; last 3 months &lt;/b&gt;?</t>
  </si>
  <si>
    <t>selected(${s5b},'0') or selected(${s5b},'98')</t>
  </si>
  <si>
    <t>&lt;br&gt;Avez-vous stocké des tests de diagnostic rapide (TDR) pour le paludisme au cours des &lt;b&gt;3 derniers mois&lt;/b&gt; ?</t>
  </si>
  <si>
    <t>14.1 Business practices: Proportion of outlets acting as wholesalers (i.e. outlets that report selling antimalarials or RDTs to be resold at another outlet/sells wholesale)</t>
  </si>
  <si>
    <t xml:space="preserve">This indicator is in indicator group 14. Business practices, but makes more sense to ask at the beginning of the questionnaire here. There is a placeholder below to maintain easy mapping to the Indicator Table which should be deleted if you keep this question here. </t>
  </si>
  <si>
    <t>select_one lblyesno_d</t>
  </si>
  <si>
    <t>retws1</t>
  </si>
  <si>
    <t>Does this [outlet or business] sell antimalarials or RDT to other outlets that re-sell the products?</t>
  </si>
  <si>
    <t>"outlets" could be other businesses, health facilities, healthcare workers - anyone who resells the products to others.
Essentially, if the outlet sells products in bulk to others who might resell these items and not consume themselves, select yes.</t>
  </si>
  <si>
    <t>Ce [point de vente ou entreprise] vend-il des antipaludiques ou des TDR à d'autres points de vente revendeurs ?</t>
  </si>
  <si>
    <t>Les « points de vente » peuvent être d’autres entreprises, des établissements de santé, des professionnels de la santé – toute personne qui revend les produits à d’autres.</t>
  </si>
  <si>
    <t>retws_warning</t>
  </si>
  <si>
    <t>&lt;font color="red"&gt;
&lt;b&gt;Interviewer: &lt;/b&gt;
&lt;i&gt;You have recorded that the respondent does not know if this outlet/ business supplies malaria commodities to other outlet/ businesss. 
&lt;br&gt;Before proceeding, please attempt to identify and ask someone at this outlet/ business who does know if they sell products to other outlet/ businesss or if all customers are patients/ idividuals (not businesses)
&lt;br&gt; If someone is able to provide a response, please go back and enter yes or no.&lt;/i&gt;
&lt;/font&gt;</t>
  </si>
  <si>
    <t>${retws1}=98</t>
  </si>
  <si>
    <t>&lt;font color="red"&gt;
&lt;b&gt;Enquêteur : &lt;/b&gt;
&lt;i&gt;Vous avez mentionné que le répondant ne sait pas si ce point de vente/entreprise vend des intrants sur le paludisme à d'autres points de vente/entreprises.
&lt;br&gt;Avant de poursuivre, veuillez confirmer avec une autre personne dans ce point de vente/entreprise si celui-ci vend des produits à d'autres points de vente/entreprises ou si tous ses clients sont exclusivement des patients ou des clients individuels (et non des entreprises).
&lt;br&gt;Si quelqu'un est en mesure de fournir une réponse, veuillez revenir en arrière et entrer oui ou non.&lt;/i&gt;
&lt;/font&gt;</t>
  </si>
  <si>
    <t>retws_confirmdk</t>
  </si>
  <si>
    <t>Are you sure that no one at this outlet/ business knows if the outlet/ business sells antimalarials or RDTs to other outlet/ business, bussineses, or health facilities (i.e. for resale)?</t>
  </si>
  <si>
    <t>Êtes-vous sûr qu'aucune personne dans ce point de vente/entreprise ne sait si le point de vente/entreprise vend des antipaludiques ou des tests de diagnostic rapide (TDR) à d'autres points de vente/entreprises, commerces ou établissements de santé (c'est-à-dire pour la revente) ?</t>
  </si>
  <si>
    <t>retws</t>
  </si>
  <si>
    <t>2</t>
  </si>
  <si>
    <t>outlet resells (i.e. is considered a supplier/ wholesaler)</t>
  </si>
  <si>
    <t>if(${auditlevel}='2' or ${retws1}='1' ,1,0)</t>
  </si>
  <si>
    <t xml:space="preserve">Point de vente revendeurs ! </t>
  </si>
  <si>
    <t>am_stockcurrent</t>
  </si>
  <si>
    <t xml:space="preserve">outlet has AMs now </t>
  </si>
  <si>
    <t xml:space="preserve">if(${s3}='1',1,0) </t>
  </si>
  <si>
    <t xml:space="preserve">Actuellement point de vente vends des antipaludiques </t>
  </si>
  <si>
    <t>am_stockpast</t>
  </si>
  <si>
    <t>outlet had AMs in the past</t>
  </si>
  <si>
    <t>if(${s4}='1',1,0)</t>
  </si>
  <si>
    <t>Le point de vente a eu des antipaludiques dans le passé</t>
  </si>
  <si>
    <t>rdt_stock</t>
  </si>
  <si>
    <t>outlet has RDTs now</t>
  </si>
  <si>
    <t xml:space="preserve">if(${s5b}='1',1,0) </t>
  </si>
  <si>
    <t>Actuellement le point de vente dispose de TDR</t>
  </si>
  <si>
    <t>micro_stockcurrent</t>
  </si>
  <si>
    <t>outlet has micro now</t>
  </si>
  <si>
    <t>if(${s5a}='1',1,0)</t>
  </si>
  <si>
    <t>Actuellement le point de vente est équipé d'une microscopie</t>
  </si>
  <si>
    <t>testing_stock</t>
  </si>
  <si>
    <t>outlet has any testing now</t>
  </si>
  <si>
    <t>if(${s6}='1' or ${s5a}='1'  or ${s5b}='1' ,1,0)</t>
  </si>
  <si>
    <t>Actuellement le point de vente a des tests de dépistages du paludisme</t>
  </si>
  <si>
    <t>eligible</t>
  </si>
  <si>
    <t>outlet is eligible for the study</t>
  </si>
  <si>
    <t>eligible = meets any criteria</t>
  </si>
  <si>
    <t>if(${am_stockcurrent}='1' or ${am_stockpast}='1' or ${rdt_stock}='1' or ${micro_stockcurrent}='1', 1, 0)</t>
  </si>
  <si>
    <t>le point de vente est éligible pour l'étude</t>
  </si>
  <si>
    <t>éligible = répond à tous les critères</t>
  </si>
  <si>
    <t>Outlets that were screened and found eligible will complete this group</t>
  </si>
  <si>
    <t>consent</t>
  </si>
  <si>
    <t>Consent:</t>
  </si>
  <si>
    <t xml:space="preserve">${eligible}=1 </t>
  </si>
  <si>
    <t>Consentement :</t>
  </si>
  <si>
    <t>INST_eligible</t>
  </si>
  <si>
    <t>&lt;b&gt;Interviewer:&lt;/b&gt;
&lt;br&gt;
&lt;br&gt;This outlet is eligible for the study. Proceed with seeking consent to participate: 
&lt;br&gt;
&lt;font color="blue"&gt;&lt;br&gt;&lt;b&gt;Consent instructions: &lt;/b&gt;
&lt;br&gt;&lt;i&gt;- Provide information about the study to respondent. &lt;br&gt;
&lt;br&gt;- Ask to interview the outlet/ business manager or lead pharmacist. If there are several providers working in the outlet/ business, ask the main provider to complete the interview or the most senior provider available at the time of visit.&lt;br&gt;
&lt;br&gt;- In a discreet location away from his/her colleagues and/or supervisors, provide additional information and consent sheet.&lt;br&gt; 
&lt;br&gt;- Ask the respondent if they consent to the interview and have them read the consent sheet. The consent sheet should be signed by the interviewer. &lt;/i&gt;
&lt;/font&gt;</t>
  </si>
  <si>
    <t>${eligible}=1</t>
  </si>
  <si>
    <t>&lt;b&gt;Enquêteur :&lt;/b&gt;
&lt;br&gt;
&lt;br&gt;Ce point de vente est éligible pour l'étude. Procédez pour l'obtention de consentement :
&lt;br&gt;
&lt;font color="blue"&gt;&lt;br&gt;&lt;b&gt;Instructions sur le consentement : &lt;/b&gt;
&lt;br&gt;&lt;i&gt;- Donner des informations sur l'étude au répondant. &lt;br&gt;
&lt;br&gt;- Demandez à interviewer le responsable du point de vente/de l'entreprise ou le pharmacien principal. Si plusieurs prestataires travaillent dans le point de vente/l'entreprise, proposer au prestataire principal pour l'interview ou au prestataire le plus expérimenté disponible au moment de la visite. &lt;br&gt;
&lt;br&gt;- Dans un endroit discret, loin de ses collègues et/ou superviseurs, donnez des informations supplémentaires et un formulaire de consentement. &lt;br&gt;
&lt;br&gt;- Demandez au répondant s'il consent à l'interview et demandez-lui de lire la feuille de consentement. La feuille de consentement doit être signée par l'enquêteur. &lt;/i&gt;
&lt;/font&gt;</t>
  </si>
  <si>
    <t>select_one consent</t>
  </si>
  <si>
    <t>consented</t>
  </si>
  <si>
    <t>&lt;b&gt;INTERVIEWER&lt;/b&gt;&lt;br&gt;Did you obtain the consent of the participant?</t>
  </si>
  <si>
    <t>&lt;b&gt;ENQUETEUR&lt;/b&gt;&lt;br&gt;Avez vous obtenu le consentement du participant ?</t>
  </si>
  <si>
    <t>consent_y</t>
  </si>
  <si>
    <t xml:space="preserve">&lt;font color="blue"&gt;
&lt;b&gt;Interviewer:&lt;/b&gt;&lt;br&gt;
&lt;br&gt;
The outlet ID is:  &lt;font color="red"&gt;${outletid}&lt;/font&gt;
&lt;br&gt;
&lt;br&gt;&lt;font color="blue"&gt;Write this ID on the top of the consent form before proceeding with the interview.
</t>
  </si>
  <si>
    <t xml:space="preserve">selected(${consented},'1') </t>
  </si>
  <si>
    <t>&lt;font color="blue"&gt;
&lt;b&gt;Enquêteur:&lt;/b&gt;&lt;br&gt;
&lt;br&gt;
L'identifiant du point de vente est : &lt;font color="red"&gt;${outletid}&lt;/font&gt;
&lt;br&gt;
&lt;br&gt;&lt;font color="blue"&gt;Inscrivez cet identifiant en haut du formulaire de consentement avant de procéder à l'interview.</t>
  </si>
  <si>
    <t>consent_notavail</t>
  </si>
  <si>
    <t>&lt;font color="blue"&gt;&lt;b&gt;Interviewer:&lt;/b&gt;
&lt;i&gt; If the provider is willing to participate at a more convenient time, arrange time (ideally later today) to return. Come back to this form to complete the survey at that time.&lt;/i&gt;</t>
  </si>
  <si>
    <t>selected(${consented}, '99')</t>
  </si>
  <si>
    <t>&lt;font color="blue"&gt;&lt;b&gt;Enquêteur :&lt;/b&gt;
&lt;i&gt;Si le prestataire préfère réaliser l’entretien à un moment plus approprié, fixez un rendez-vous (de préférence plus tard dans la journée) pour revenir et mener l’entretien. Revenez à ce formulaire pour finaliser l’enquête à ce moment-là..&lt;/i&gt;</t>
  </si>
  <si>
    <t>select_one lblrefuse</t>
  </si>
  <si>
    <t>c10</t>
  </si>
  <si>
    <t>If the provider refused, why?</t>
  </si>
  <si>
    <t>selected(${consented},'97' )</t>
  </si>
  <si>
    <t>Si le prestataire a refusé, pourquoi ?</t>
  </si>
  <si>
    <t>c10_other</t>
  </si>
  <si>
    <t>Specify other reason</t>
  </si>
  <si>
    <t xml:space="preserve">selected(${c10},'96') </t>
  </si>
  <si>
    <t>Préciser les autres raisons</t>
  </si>
  <si>
    <t>INST_refused1</t>
  </si>
  <si>
    <t>&lt;font color="blue"&gt;&lt;b&gt;Interviewer:&lt;/b&gt;
&lt;br&gt;
&lt;br&gt;The interview could not be completed at this outlet. 
&lt;br&gt;
&lt;br&gt;&lt;i&gt; &lt;b&gt;If the provider is available and willing to participate at a more convenient time&lt;/b&gt;, arrange time (ideally later today) to return. Come back to this form to complete the survey at that time.
&lt;br&gt; 
&lt;b&gt; If not, &lt;/b&gt; thank the respondent for their time
&lt;br&gt;
&lt;br&gt; Save this form. 
&lt;br&gt;
&lt;br&gt; Proceed to the next outlet. 
&lt;/i&gt;</t>
  </si>
  <si>
    <t>selected(${c10},'96') or selected(${c10},'1')</t>
  </si>
  <si>
    <t>&lt;font color="blue"&gt;&lt;b&gt;Enquêteur :&lt;/b&gt;
&lt;br&gt;
&lt;br&gt;L'interview n'a pas pu être réalisée pour ce point de vente.
&lt;br&gt;
&lt;br&gt;&lt;i&gt; &lt;b&gt;Si le prestataire préfère réaliser l’entretien à un moment plus approprié&lt;/b&gt;, fixez un rendez-vous (de préférence plus tard dans la journée) pour revenir et mener l’entretien. Revenez à ce formulaire pour finaliser l’enquête à ce moment-là.
&lt;br&gt;Si ce n'est pas le cas, &lt;/b&gt; remerciez le répondant pour son temps.
&lt;br&gt;
&lt;br&gt; Enregistrez ce formulaire.
&lt;br&gt;
&lt;br&gt; Passez au point de vente suivant.
&lt;/i&gt;</t>
  </si>
  <si>
    <t>INST_refused2</t>
  </si>
  <si>
    <t xml:space="preserve">&lt;font color="blue"&gt;&lt;b&gt;Interviewer:&lt;/b&gt;
&lt;i&gt; &lt;br&gt;
&lt;br&gt;The interview could not be completed at this outlet. 
&lt;br&gt;
&lt;br&gt; Save this form. 
&lt;br&gt;
&lt;br&gt; Proceed to the next outlet. </t>
  </si>
  <si>
    <t>selected(${c10},'2') or 
selected(${c10},'3') or 
selected(${c10},'7')</t>
  </si>
  <si>
    <t>&lt;font color="blue"&gt;&lt;b&gt;Enquêteur:&lt;/b&gt;
&lt;i&gt; &lt;br&gt;
&lt;br&gt;L'interview n'a pas pu être réalisée dans ce point de vente.
&lt;br&gt;
&lt;br&gt; Enregistrez ce formulaire.
&lt;br&gt;
&lt;br&gt; Passez au point de vente suivant.</t>
  </si>
  <si>
    <t>If there are certain outlet types which should not receive the provider interview (questions beyond the audit) change the relevancy statement here to include those outlet types.</t>
  </si>
  <si>
    <t>no_prov_int</t>
  </si>
  <si>
    <t>outlet is NOT eligible or consenting for provider interview</t>
  </si>
  <si>
    <t>if(( ${eligible}=0 or ${consented}=0), 1,0)</t>
  </si>
  <si>
    <t>Le point de vente n'est pas éligible ou n'a pas consenti pour une interview avec le prestataire.</t>
  </si>
  <si>
    <t>prov_int</t>
  </si>
  <si>
    <t xml:space="preserve">outlet is eligible, consented, and form type and outlet type are applicable for provider interview - use this variable for skip logic </t>
  </si>
  <si>
    <t>if(${no_prov_int}=0 ,1,0)</t>
  </si>
  <si>
    <t xml:space="preserve">Le point de vente est éligible, a donné son consentement, et le type de formulaire et le type de point de vente sont applicables pour une interview avec le prestataire - utiliser cette variable pour la logique de saut </t>
  </si>
  <si>
    <t>do_audit</t>
  </si>
  <si>
    <t>outlet is eligible, consented, and form type and outlet type are applicable for audit</t>
  </si>
  <si>
    <t>if(( selected(${consented},'1')) ,1,0)</t>
  </si>
  <si>
    <t>Le point de vente est éligible, a donné son consentement, et le type de formulaire et le type de point de vente sont applicables pour l'audit</t>
  </si>
  <si>
    <t>&lt;expand module here</t>
  </si>
  <si>
    <t xml:space="preserve">All questions and sections from this point will only be asked if the outlet consented to participate in the study. </t>
  </si>
  <si>
    <t>consent_group</t>
  </si>
  <si>
    <t xml:space="preserve">${consented}=1 </t>
  </si>
  <si>
    <t>AwL</t>
  </si>
  <si>
    <t>PROVIDER MODULE</t>
  </si>
  <si>
    <t xml:space="preserve">The provider module includes all questions for the respondent beyond the product audits. Questions have been matched to indicators where applicable. 
All quesitons here should be reworded or tailored to country context. Specific inputs required have been indicated in this column. It may also make sense for certain implementations to change the order of the questionnaire e.g. to conduct audits then the interview, or to ask about licencing last where this may be sensitive </t>
  </si>
  <si>
    <t>Provider Module - Section 1: Outlet characteristics</t>
  </si>
  <si>
    <t>This section is optional if the indicators mapped below are selected for inclusion in column A 
The form is currently programed to skip this section for informal outlets</t>
  </si>
  <si>
    <t>section1</t>
  </si>
  <si>
    <t>1</t>
  </si>
  <si>
    <t>0</t>
  </si>
  <si>
    <t>Section 1. Outlet characteristics</t>
  </si>
  <si>
    <t>${prov_int}=1 and ${inf}!=1</t>
  </si>
  <si>
    <t>Section 8 : Situation sur l'enregistrement</t>
  </si>
  <si>
    <t>p1</t>
  </si>
  <si>
    <t>&lt;br&gt;&lt;br&gt;&lt;h4&gt;Provider module section 1. Outlet characteristics&lt;/h4&gt;&lt;br&gt;&lt;br&gt;
&lt;font color="blue"&gt;
&lt;b&gt;Interviewer:&lt;/b&gt;&lt;br&gt;
&lt;i&gt;For the following questions, ask to speak with a store manager or staff member whose responsibilities include providing prescriptions, treatment, or medicines to clients.&lt;i&gt;
&lt;/font&gt;</t>
  </si>
  <si>
    <t>&lt;br&gt;&lt;br&gt;&lt;h4&gt;Provider module section 3. Module Prestataire&lt;/h4&gt;&lt;br&gt;&lt;br&gt;
&lt;br&gt;&lt;br&gt;&lt;h4&gt;3.A Caractéristiques du point de vente/entreprise&lt;/h4&gt;&lt;br&gt;
&lt;font color="blue"&gt;
&lt;b&gt;Enquêteur:&lt;/b&gt;&lt;br&gt;
&lt;i&gt;Pour les questions suivantes, demandez à parler à un responsable de stock ou à un membre du personnel dont les responsabilités incluent la prescription d'ordonnances, de traitements ou de médicaments aux clients.&lt;i&gt;
&lt;/font&gt;</t>
  </si>
  <si>
    <t>8.1 Outlet characteristics: Opening hours:  Proportion of outlets open in the daytime only, evening only, both, or other</t>
  </si>
  <si>
    <t>MAY REQUIRE INPUT/EDIT TO LABEL&amp; CHOICES - in some context, typical store hours differ from those listed as default choices here. Edit accordingly</t>
  </si>
  <si>
    <t>select_multiple openhrs</t>
  </si>
  <si>
    <t>p0</t>
  </si>
  <si>
    <t xml:space="preserve">&lt;br&gt; Approximately when is this outlet usually open? </t>
  </si>
  <si>
    <t>Approximate values are ok. If 24 hrs, select all.</t>
  </si>
  <si>
    <t>if(selected(., "97") or selected(., "98"), count-selected(.) = 1, count-selected(.) &gt;= 1)</t>
  </si>
  <si>
    <t>&lt;br&gt;À peu près, à quel moment ce point de vente est-il généralement ouvert ?</t>
  </si>
  <si>
    <t>Les valeurs approximatives sont correctes. Si 24 heures, sélectionnez tout.</t>
  </si>
  <si>
    <t>MAY REQUIRE EDIT TO DATE RANGE</t>
  </si>
  <si>
    <t>p0_other</t>
  </si>
  <si>
    <t xml:space="preserve">Opening hours - other specify: </t>
  </si>
  <si>
    <t>selected(${p0}, '96')</t>
  </si>
  <si>
    <t xml:space="preserve">Heures d'ouverture - autres préciser : </t>
  </si>
  <si>
    <t>integer</t>
  </si>
  <si>
    <t>char2</t>
  </si>
  <si>
    <t>&lt;br&gt; Do you know what year this outlet/ business was established?</t>
  </si>
  <si>
    <t>Please enter the year</t>
  </si>
  <si>
    <t>Year must be between 1900 and 202X</t>
  </si>
  <si>
    <t>(.&gt;=1900 and .&lt;=2025) or .=-9888 or .=-9777</t>
  </si>
  <si>
    <t>custom-extrabuttons(button1="Don't know", value1=-9888, button2="Refused", value2=-9777, autoadvance=1))</t>
  </si>
  <si>
    <t>&lt;br&gt;Savez-vous en quelle année ce point de vente ou cette entreprise a été créé(e) ?</t>
  </si>
  <si>
    <t>Veuillez saisir l'année</t>
  </si>
  <si>
    <r>
      <rPr>
        <sz val="10"/>
        <color rgb="FF7F7F7F"/>
        <rFont val="Roboto"/>
      </rPr>
      <t xml:space="preserve">L'année doit être comprise entre 1900 et </t>
    </r>
    <r>
      <rPr>
        <sz val="10"/>
        <color rgb="FFC00000"/>
        <rFont val="Roboto Light"/>
      </rPr>
      <t>2025</t>
    </r>
  </si>
  <si>
    <t>char4</t>
  </si>
  <si>
    <t>&lt;br&gt; How many people work here?</t>
  </si>
  <si>
    <t>An approximate number is ok.</t>
  </si>
  <si>
    <t>Response must be between 1 and 98 (enter 98 if the answer is not known)</t>
  </si>
  <si>
    <t>(.&gt;=1 and .&lt;=98) or .=-9888 or .=-9777</t>
  </si>
  <si>
    <t>&lt;br&gt;Combien de personnes travaillent ici ?</t>
  </si>
  <si>
    <t>Un nombre approximatif est acceptable.</t>
  </si>
  <si>
    <t>La réponse doit être comprise entre 1 et 98 (entrez 98 si la réponse n'est pas connue)</t>
  </si>
  <si>
    <t>char4_WARN1</t>
  </si>
  <si>
    <t>&lt;font color="red"&gt;
&lt;b&gt;Interviewer: &lt;/b&gt;
&lt;i&gt;Confirm &lt;font color="blue"&gt;${char4} &lt;/font&gt;is the correct number of staff the respondent has reported to work at this outlet/ business before proceeding&lt;/i&gt;
&lt;/font&gt;</t>
  </si>
  <si>
    <t>${char4}&gt;=10</t>
  </si>
  <si>
    <t>&lt;font color="red"&gt;
&lt;b&gt;Enquêteur : &lt;/b&gt;
&lt;i&gt;Confirmez que &lt;font color="blue"&gt;${char4} &lt;/font&gt;est le nombre exact d'employés que le répondant a déclarés travailler dans ce point de vente/entreprise avant de continuer&lt;/i&gt;
&lt;/font&gt;</t>
  </si>
  <si>
    <t>8.2 Outlet characteristics: Proportion with license:  Proportion of outlets with the relevant license and registration to sell medicines (note this question should be tailored to country-specific licensing policy or processes for private sector outlet type included e.g. license to sell pharmaceuticals)</t>
  </si>
  <si>
    <t xml:space="preserve">REQUIRES INPUT/EDIT TO LABEL&amp; CHOICES - edit the question to use the approprite vocabulary for your context - we want to capture if the outlet has the correct licence and or registration to sell malaria commodities. You may need multiple questions for different outlet types that require different licence/ reg. Adapt accordingly. </t>
  </si>
  <si>
    <t>select_one licence_check</t>
  </si>
  <si>
    <t>reg1</t>
  </si>
  <si>
    <t>&lt;br&gt; Does this outlet have the correct license/ registration to sell medicines here?</t>
  </si>
  <si>
    <t>&lt;br&gt;Ce point de vente possède-t-il une licence/un enregistrement auprès de PCN ?</t>
  </si>
  <si>
    <t>8.3 Outlet characteristics: Proportion with govt inspection:  Proportion of outlets who have received a government inspection in the last year (note this question should be tailored to country-specific policy or process on regulation of each private sector outlet type included e.g. pharmacy regulatory bodies and their inspection process)</t>
  </si>
  <si>
    <t>MAY REQUIRE INPUT/EDIT - ideally, add a hint with details on inspection from whom and for what if known e.g. by the pharmaceutical council to do routine quality monitoring</t>
  </si>
  <si>
    <t>reg2</t>
  </si>
  <si>
    <t>&lt;br&gt; Has this establishment received a government inspection in the last year?</t>
  </si>
  <si>
    <t>&lt;br&gt;Cet établissement a-t-il fait l'objet d'une inspection gouvernementale l'année dernière?</t>
  </si>
  <si>
    <t>last_visitgrp</t>
  </si>
  <si>
    <t>selected(${reg2}, '1')</t>
  </si>
  <si>
    <t>reg2a</t>
  </si>
  <si>
    <t>&lt;br&gt; When was the last visit?</t>
  </si>
  <si>
    <t>Enter '1998' if unknown</t>
  </si>
  <si>
    <t>Date must be between 1/1/202X and today's date. (Enter 1/1/1998 if the answer is not known)</t>
  </si>
  <si>
    <t xml:space="preserve"> (. &lt;= today())</t>
  </si>
  <si>
    <t>month-year</t>
  </si>
  <si>
    <t>&lt;br&gt;À quelle date a eu lieu la dernière visite ?</t>
  </si>
  <si>
    <t>Entrez « 1998 » si inconnu</t>
  </si>
  <si>
    <r>
      <t xml:space="preserve">La date doit être comprise entre le </t>
    </r>
    <r>
      <rPr>
        <sz val="10"/>
        <color rgb="FFC00000"/>
        <rFont val="Roboto Light"/>
      </rPr>
      <t xml:space="preserve">01/01/202X </t>
    </r>
    <r>
      <rPr>
        <sz val="10"/>
        <color rgb="FF000000"/>
        <rFont val="Roboto Light"/>
      </rPr>
      <t>et la date d'aujourd'hui. (Entrez 01/01/1998 si la réponse n'est pas connue)</t>
    </r>
  </si>
  <si>
    <t xml:space="preserve">Optional checkpoint- 
This is the first of a series of checkpoints added throughout the questionnaire. Since the interview is long, it is useful to oconfirm periodically that data collection could continue to measure completeness. If these are removed, please note that relevancy statements throughout should also be edited! </t>
  </si>
  <si>
    <t>checkpoint1</t>
  </si>
  <si>
    <t>End of section 1 of X</t>
  </si>
  <si>
    <t>&lt;font color="green"&gt;CHECKPOINT 1&lt;br&gt;&lt;br&gt;&lt;b&gt;INTERVIEWER&lt;/b&gt;&lt;br&gt;Are you able to continue the interview, that is, this interview &lt;b&gt;has not&lt;/b&gt; been interrupted?&lt;/font&gt;</t>
  </si>
  <si>
    <t>&lt;font color="green"&gt;POINT DE CONTRÔLE 8&lt;br&gt;&lt;br&gt;&lt;b&gt;ENQUÊTEUR&lt;/b&gt;&lt;br&gt;Êtes-vous en mesure de poursuivre l'interview, &lt;b&gt; sans interruption pour cette interview &lt;/b&gt; ?&lt;/font&gt;</t>
  </si>
  <si>
    <t>Provider Module - Section 2: Staff characteristics</t>
  </si>
  <si>
    <t>section2</t>
  </si>
  <si>
    <t>Section 2: Staff Characteristics</t>
  </si>
  <si>
    <t>${prov_int}=1 and ${inf}!=1 and ${checkpoint1}=1</t>
  </si>
  <si>
    <t>SECTION 3. Module du prestataire</t>
  </si>
  <si>
    <t>9.1 Staff characteristics: Staff health qualifications:  Proportion of outlets with at least one member of staff with selected health qualifications (pharmacist, CHW, etc.)</t>
  </si>
  <si>
    <t xml:space="preserve">MAY REQUIRE INPUT/EDIT - edit qualifications based on mandatory/ expected within private sector outlets or split question out by outlet types. Refer to the Desk Review </t>
  </si>
  <si>
    <t>select_multiple qualification_type</t>
  </si>
  <si>
    <t>p8</t>
  </si>
  <si>
    <t>&lt;br&gt; Do you or anyone in this outlet/ business have any of the following health-related qualifications? 
&lt;br&gt;Select all that apply</t>
  </si>
  <si>
    <t>Read the list and select any qualifications they have on staff. Record any others they mention, but don’t probe for more.</t>
  </si>
  <si>
    <t>if(selected(., "99"), count-selected(.) = 1, count-selected(.) &gt;= 1)</t>
  </si>
  <si>
    <t>compact</t>
  </si>
  <si>
    <t>&lt;br&gt;Est-ce que vous ou quelqu'un dans ce point de vente/entreprise possédez l'une des qualifications suivantes liées au domaine de la santé ?
&lt;br&gt;Sélectionnez toutes les réponses qui s'appliquent</t>
  </si>
  <si>
    <t>Lisez la liste et sélectionnez les qualifications dont dispose le personnel. Notez toutes les autres qualifications mentionnées, mais n’en demandez pas plus.</t>
  </si>
  <si>
    <t>p8_other</t>
  </si>
  <si>
    <t>Specify qualification(s)</t>
  </si>
  <si>
    <t>selected(${p8}, '96')</t>
  </si>
  <si>
    <t>Préciser la (les) qualification(s)</t>
  </si>
  <si>
    <t>9.2 Staff characteristics: Staff malaria training:  Proportion of outlets with at least one member of staff who have received any training on malaria; by training type/ topic (treatment, diagnosis, monitoring/ surveillance, all, or other) in the last 12 months</t>
  </si>
  <si>
    <t xml:space="preserve">MAY REQUIRE INPUT/EDIT - edit training topics etc. based on madatory/ expected training for different private sector outlet staff. Refer to the Desk Review </t>
  </si>
  <si>
    <t>select_multiple training_purpose</t>
  </si>
  <si>
    <t>char9</t>
  </si>
  <si>
    <t>&lt;br&gt; Has any staff working at this outlet/ business received malaria-related training in the last 2 years?
&lt;br&gt;
&lt;br&gt;&lt;b&gt; Interviewer:&lt;/b&gt; 
&lt;br&gt; If no, select none. 
&lt;br&gt;If yes, please read all responses below and select all applicable: &lt;br&gt;</t>
  </si>
  <si>
    <t xml:space="preserve">Training may include courses and workshops. Do not include initial education. </t>
  </si>
  <si>
    <t>if(selected(., "99") or selected(., "98"), count-selected(.) = 1, 
count-selected(.) &gt;= 1)</t>
  </si>
  <si>
    <t>&lt;br&gt;Est-ce qu'un membre du personnel travaillant dans ce point de vente/entreprise a reçu une formation sur le paludisme au cours des 2 dernières années ?
&lt;br&gt;
&lt;br&gt;&lt;b&gt;Enquêteur :&lt;/b&gt;
&lt;br&gt;Si non, ne sélectionnez aucune réponse.
&lt;br&gt;Si oui, veuillez lire toutes les réponses ci-dessous et sélectionner toutes les réponses applicables : &lt;br&gt;</t>
  </si>
  <si>
    <t>La formation peut inclure des cours et des ateliers. N'inclut pas l'éducation initiale.</t>
  </si>
  <si>
    <t>char9_other</t>
  </si>
  <si>
    <t>Specify other purpose of training:</t>
  </si>
  <si>
    <t>selected(${char9}, '96')</t>
  </si>
  <si>
    <t>Préciser les autres objectifs de la formation :</t>
  </si>
  <si>
    <t>Optional checkpoint</t>
  </si>
  <si>
    <t>checkpoint2</t>
  </si>
  <si>
    <t>End of section 2 of X</t>
  </si>
  <si>
    <t>&lt;font color="green"&gt;CHECKPOINT 2&lt;br&gt;&lt;br&gt;&lt;b&gt;INTERVIEWER&lt;/b&gt;&lt;br&gt;Are you able to continue the interview, that is, this interview &lt;b&gt;has not&lt;/b&gt; been interrupted?&lt;/font&gt;</t>
  </si>
  <si>
    <t>section3</t>
  </si>
  <si>
    <t>Section 3: Quality control and compliance</t>
  </si>
  <si>
    <t>${prov_int}=1 and ${inf}!=1 and ${checkpoint2}=1</t>
  </si>
  <si>
    <t xml:space="preserve">10.1 Quality Control &amp; Compliance : Proportion of products that meet a minimum quality standard (within expiration date, has expected/ nationally mandated registration number(s) and any other quality criteria relevant to the given country of implementation) </t>
  </si>
  <si>
    <t xml:space="preserve">Note this is a placeholder. This indicator is captured in another part of the questionnaire . Please read and delete.
</t>
  </si>
  <si>
    <t>PLACEHOLDER_DELETE_10.1</t>
  </si>
  <si>
    <t>[DELETE THIS ROW FROM THE FORM] This indicator is captured in the audits of each product rather than at outlet level. Please find 10.1 in the Antimalarial Audit Section and RDT Audit Section. This is here as a placeholder to maintain easy mapping to the Indicator Table</t>
  </si>
  <si>
    <t>missing</t>
  </si>
  <si>
    <t>10.2 Quality Control &amp; Compliance : Proportion of oulttes that meet a minimum quality standard for product storage (dry, dark area off floor)</t>
  </si>
  <si>
    <t>MAY REQUIRE INPUT/EDIT - edit based on any guidelines for proper product storage specific to country/ context</t>
  </si>
  <si>
    <t>am_storage_0</t>
  </si>
  <si>
    <t xml:space="preserve">&lt;br&gt;&lt;br&gt;&lt;h4&gt;Provider module section 3. QC and compliance&lt;/h4&gt;&lt;br&gt;&lt;br&gt;
&lt;font color="blue"&gt;
Next, ask to &lt;b&gt;OBSERVE&lt;/b&gt; how their medicine are stored and complete the following questions. 
&lt;br&gt;&lt;b&gt;Remember, observe! Don't ask!&lt;/b&gt;&lt;br&gt;
</t>
  </si>
  <si>
    <t>storage</t>
  </si>
  <si>
    <t>Antimalarial storage:</t>
  </si>
  <si>
    <t>${n1}=1</t>
  </si>
  <si>
    <t>Stockage des médicaments :</t>
  </si>
  <si>
    <t>select_one y_n_dnk</t>
  </si>
  <si>
    <t>am_storage_1</t>
  </si>
  <si>
    <t>a</t>
  </si>
  <si>
    <t xml:space="preserve">Are antimalarials stored in a dry area? </t>
  </si>
  <si>
    <t xml:space="preserve">Les antipaludiques sont-ils conservés dans un endroit sec ? </t>
  </si>
  <si>
    <t>am_storage_2</t>
  </si>
  <si>
    <t>b</t>
  </si>
  <si>
    <t>Are antimalarials protected from direct sunlight?</t>
  </si>
  <si>
    <t>Les antipaludiques sont-ils protégés de rayon du soleil ?</t>
  </si>
  <si>
    <t>am_storage_3</t>
  </si>
  <si>
    <t>c</t>
  </si>
  <si>
    <t>Are antimalarials kept on the floor?</t>
  </si>
  <si>
    <t>Les antipaludiques sont-ils conservés sur le sol ?</t>
  </si>
  <si>
    <t>storage2</t>
  </si>
  <si>
    <t>RDTstorage:</t>
  </si>
  <si>
    <t>selected(${d7}, '1')</t>
  </si>
  <si>
    <t>rdt_storage_1</t>
  </si>
  <si>
    <t xml:space="preserve">&lt;b&gt;[Observe]: &lt;/b&gt;&lt;br&gt;Are RDTs stored in a dry area? </t>
  </si>
  <si>
    <t xml:space="preserve">&lt;b&gt;[Observer] : &lt;/b&gt;&lt;br&gt;Les TDR sont-ils stockés dans un endroit sec ? </t>
  </si>
  <si>
    <t>rdt_storage_2</t>
  </si>
  <si>
    <t>&lt;b&gt;[Observe]: &lt;/b&gt;&lt;br&gt;Are RDTs protected from direct sunlight?</t>
  </si>
  <si>
    <t>&lt;b&gt;[Observer] : &lt;/b&gt;&lt;br&gt;Les TDR sont-ils protégés du rayon du soleil ?</t>
  </si>
  <si>
    <t>rdt_storage_3</t>
  </si>
  <si>
    <t>&lt;b&gt;[Observe]: &lt;/b&gt;&lt;br&gt;Are RDTs kept on the floor?</t>
  </si>
  <si>
    <t>&lt;b&gt;[Observer] : &lt;/b&gt;&lt;br&gt;Les RDT sont-elles conservées sur le sol ?</t>
  </si>
  <si>
    <t>d1</t>
  </si>
  <si>
    <t>&lt;br&gt; Does this outlet/facility have &lt;b&gt;disposable gloves&lt;/b&gt; available today for staff to use when seeing customers/patients?</t>
  </si>
  <si>
    <t>${testing_stock}=1</t>
  </si>
  <si>
    <t>&lt;br&gt;Ce point de vente/établissement de santé dispose-t-il aujourd'hui de &lt;b&gt;gants jetables&lt;/b&gt; que le personnel peut utiliser lorsqu'il reçoit des clients/patients ?</t>
  </si>
  <si>
    <t>d2</t>
  </si>
  <si>
    <t>&lt;br&gt;Does this outlet/facility have a &lt;b&gt;sharps container&lt;/b&gt;, also called a sharps disposal box or safety box, available today for staff to use?</t>
  </si>
  <si>
    <t>&lt;br&gt;Ce point de vente/établissement de santé dispose-t-il aujourd'hui d'un &lt;b&gt;conteneur pour objets tranchants&lt;/b&gt;, également appelé boîte de sécurité pour objets tranchants, accessible pour utilisation par le personnel ?</t>
  </si>
  <si>
    <t>checkpoint3</t>
  </si>
  <si>
    <t>End of section 3 of X</t>
  </si>
  <si>
    <t>&lt;font color="green"&gt;CHECKPOINT 3&lt;br&gt;&lt;br&gt;&lt;b&gt;INTERVIEWER&lt;/b&gt;&lt;br&gt;Are you able to continue the interview, that is, this interview &lt;b&gt;has not&lt;/b&gt; been interrupted?&lt;/font&gt;</t>
  </si>
  <si>
    <t>section4</t>
  </si>
  <si>
    <t>4</t>
  </si>
  <si>
    <t>Section 4: Respondent malaria knowledge</t>
  </si>
  <si>
    <t>${prov_int}=1 and ${inf}!=1 and ${checkpoint3}=1</t>
  </si>
  <si>
    <t>INST_mal</t>
  </si>
  <si>
    <t>&lt;br&gt;&lt;br&gt;&lt;h4&gt;Provider module section 4. Malaria Knowledge&lt;/h4&gt;&lt;br&gt;&lt;br&gt;
&lt;font color="blue"&gt;
&lt;b&gt;Interviewer: &lt;/b&gt;&lt;br&gt;
&lt;i&gt;Inform your provider that this short section will capture the providers knowledge of malaria testing and treatment. It is not an exam and we only care about their opinions. Their individual responses will not be shared.&lt;/i&gt;</t>
  </si>
  <si>
    <t>&lt;br&gt;&lt;br&gt;&lt;h4&gt;Provider module section 3. Module prestataire&lt;/h4&gt;&lt;br&gt;&lt;br&gt;
&lt;br&gt;&lt;br&gt;&lt;h4&gt;3.B Connaissances sur le paludisme&lt;/h4&gt;&lt;br&gt;&lt;br&gt;
&lt;font color="blue"&gt;
&lt;b&gt;Enquêteur : &lt;/b&gt;&lt;br&gt;
&lt;i&gt;Informez votre prestataire que cette courte section vise à recueillir ses connaissances sur le dépistage et le traitement du paludisme. Il ne s'agit pas d'un examen mais nous nous intéressons uniquement à ses opinions. Ses réponses individuelles resteront confidentielles et ne seront pas partagées.&lt;/i&gt;</t>
  </si>
  <si>
    <t>mal3</t>
  </si>
  <si>
    <t>Most effective treatment</t>
  </si>
  <si>
    <t>Traitement le plus efficace</t>
  </si>
  <si>
    <t xml:space="preserve">11.1 Respondent malaria knowledge: Proportion of respondents who identify an ACT (or specific front-line treatment(s)) as the most effective drug for uncomplicated malaria </t>
  </si>
  <si>
    <t>MAY REQUIRE INPUT/EDIT - edit responses or hint based on treatment guidelines</t>
  </si>
  <si>
    <t>p16</t>
  </si>
  <si>
    <t>Please name one first-line drug &lt;b&gt;recommended by the government&lt;/b&gt; to treat uncomplicated malaria.
&lt;br&gt;(i.e. what is the most effective drug to treat uncomplicated malaria)?</t>
  </si>
  <si>
    <t>Do not read the list. If a brand name is provided, select the generic name for that brand here. 
It may be helpful to ask the provider to show you the medication if it is in stock.</t>
  </si>
  <si>
    <t>Veuillez citer un médicament de première intention &lt;b&gt;recommandé par le gouvernement&lt;/b&gt; pour traiter le paludisme simple.
&lt;br&gt;(autrement dit, quel est le médicament le plus efficace pour traiter le paludisme simple) ?</t>
  </si>
  <si>
    <t>Ne lisez pas la liste. Si un nom de marque est fourni, sélectionnez ici le nom générique de cette marque.
Il peut être utile de demander au fournisseur de vous montrer le médicament s'il est en stock.</t>
  </si>
  <si>
    <t>select_one lblgeneric</t>
  </si>
  <si>
    <t>p16_name</t>
  </si>
  <si>
    <t>&lt;br&gt; &lt;b&gt;Generic name:&lt;/b&gt;</t>
  </si>
  <si>
    <t>minimal</t>
  </si>
  <si>
    <t>&lt;br&gt; &lt;b&gt;Nom générique:&lt;/b&gt;</t>
  </si>
  <si>
    <t>select_one dosage</t>
  </si>
  <si>
    <t>p16_form</t>
  </si>
  <si>
    <t>&lt;br&gt; &lt;b&gt;Dosage form:&lt;/b&gt;</t>
  </si>
  <si>
    <t>&lt;br&gt; &lt;b&gt;Présentationm:&lt;/b&gt;</t>
  </si>
  <si>
    <t>p16_name_oth</t>
  </si>
  <si>
    <t xml:space="preserve">Other, specify: </t>
  </si>
  <si>
    <t>${p16_name}=96</t>
  </si>
  <si>
    <t xml:space="preserve">Autre, précisez : </t>
  </si>
  <si>
    <t xml:space="preserve">11.2 Respondent malaria knowledge: Proportion of respondents who have heard of and used an RDT for malaria </t>
  </si>
  <si>
    <t>p21</t>
  </si>
  <si>
    <t>&lt;br&gt;&lt;b&gt;Have you ever seen or heard of a malaria rapid diagnostic test (RDT)?&lt;/b&gt;</t>
  </si>
  <si>
    <t>&lt;br&gt;&lt;b&gt;Avez-vous déjà vu ou entendu parler d'un test de diagnostic rapide (TDR) du paludisme ?</t>
  </si>
  <si>
    <t>p22</t>
  </si>
  <si>
    <t>&lt;br&gt; While working at this outlet/ business, have you ever tested a client for malaria using an RDT?</t>
  </si>
  <si>
    <t>A rapid diagnostic test for malaria, also known as a RDT, is a small, individually wrapped blood test that quickly diagnoses whether a person has malaria</t>
  </si>
  <si>
    <t>${p21}=1</t>
  </si>
  <si>
    <t>&lt;br&gt;Depuis que vous travailliez dans ce point de vente/entreprise, avez-vous déjà effectué un test de dépistage du paludisme sur un client à l'aide d'un TDR ?</t>
  </si>
  <si>
    <t>Un test de diagnostic rapide du paludisme, également appelé TDR, est un petit test sanguin emballé individuellement qui permet de diagnostiquer rapidement si une personne est atteinte du paludisme.</t>
  </si>
  <si>
    <t>11.3 Proportion of respondents who report requesting evidence of confirmed malaria (e.g., test result, prescription, or referral) from a customer or patient before selling antimalarials.</t>
  </si>
  <si>
    <t>p25</t>
  </si>
  <si>
    <t>&lt;br&gt; Is a prescription or positive malaria test result required to purchase an antimalarial at this outlet?</t>
  </si>
  <si>
    <t xml:space="preserve">Or, do you ask for a prescription or test result before selling antimalarials to your customers? </t>
  </si>
  <si>
    <t>11.4 Proportion of respondents who would provide an antimalarial to a client IF they had a negative malaria blood test and reasons WHY</t>
  </si>
  <si>
    <t>select_one recommande</t>
  </si>
  <si>
    <t>p23</t>
  </si>
  <si>
    <t>&lt;br&gt; Would you recommend that a patient/client take an antimalarial drug if the rapid diagnostic test is negative for malaria?</t>
  </si>
  <si>
    <t>Read the list.
Record one answer</t>
  </si>
  <si>
    <t>&lt;br&gt;Recommanderiez-vous à un patient/client de prendre un médicament antipaludique si le test de diagnostic rapide a donné un résultat négatif pour le paludisme ?</t>
  </si>
  <si>
    <t>Lisez la liste.
Notez une réponse</t>
  </si>
  <si>
    <t>select_multiple reco_circon</t>
  </si>
  <si>
    <t>p24</t>
  </si>
  <si>
    <t>&lt;br&gt; Under what circumstances would you recommend that a patient/client take an antimalarial drug after a negative RDT test for malaria?</t>
  </si>
  <si>
    <t>Do not read the list.
Ask "what else?" until the participant finishes.
Select all answers provided</t>
  </si>
  <si>
    <t xml:space="preserve">selected(${p23},'1') or selected(${p23},'2') or selected(${p23},'8') </t>
  </si>
  <si>
    <t>&lt;br&gt;Sous quelles circonstances recommanderiez-vous à un patient/client de prendre un médicament antipaludique après un test TDR négatif pour le paludisme ?</t>
  </si>
  <si>
    <t>Ne lisez pas la liste.
Demandez « quoi d'autre ?» jusqu'à ce que le participant ait terminé.
Sélectionnez toutes les réponses fournies</t>
  </si>
  <si>
    <t>p24_other</t>
  </si>
  <si>
    <t>Other circumstances</t>
  </si>
  <si>
    <t xml:space="preserve">selected(${p24},'96') </t>
  </si>
  <si>
    <t>Autres circonstances</t>
  </si>
  <si>
    <t>checkpoint4</t>
  </si>
  <si>
    <t>End of section 4 of X</t>
  </si>
  <si>
    <t>&lt;font color="green"&gt;CHECKPOINT 4&lt;br&gt;&lt;br&gt;&lt;b&gt;INTERVIEWER&lt;/b&gt;&lt;br&gt;Are you able to continue the interview, that is, this interview &lt;b&gt;has not&lt;/b&gt; been interrupted?&lt;/font&gt;</t>
  </si>
  <si>
    <t>&lt;font color="green"&gt;CHECKPOINT 3&lt;br&gt;&lt;br&gt;&lt;b&gt;ENQUETEUR&lt;/b&gt;&lt;br&gt;Etes-vous en mesure de poursuivre l'interview &lt;b&gt;sans&lt;/b&gt; interruption ? &lt;/font&gt;.</t>
  </si>
  <si>
    <t>section5</t>
  </si>
  <si>
    <t>Section 5: Outlet tech/ digital access &amp; use</t>
  </si>
  <si>
    <t>${prov_int}=1 and ${inf}!=1 and ${checkpoint4}=1</t>
  </si>
  <si>
    <t>HEAD_s4</t>
  </si>
  <si>
    <t xml:space="preserve">&lt;br&gt;&lt;br&gt;&lt;h4&gt;Provider module section 5: Technology access and use&lt;/h4&gt;&lt;br&gt;
&lt;br&gt;&lt;font color="blue"&gt;&lt;i&gt;In this section we will ask about what technology you have at this outlet (for the business, not personally) </t>
  </si>
  <si>
    <t>&lt;br&gt;&lt;br&gt;&lt;h4&gt;Provider module section 4 : Digital&lt;/h4&gt;&lt;br&gt;
&lt;h4&gt;4A. Accès et utilisation de la technologie&lt;/h4&gt;&lt;br&gt;
&lt;br&gt;&lt;font color="blue"&gt;&lt;i&gt;Dans cette section, nous vous demanderons quelles technologies sont disponibles dans ce point de vente (pour l'entreprise, et non pour votre utilisation  personnelle).</t>
  </si>
  <si>
    <t>12.1 Outlet tech/ digital access &amp; use: Proportion of outlets with functional infrastructure and technology available for the 30 days preceding the interview (where infrastructure includes water, electricity; technology includes internet, phone, tablet/ computer. These may be edited based on needs or expectations in a given country of implementation e.g. countries doing tablet based surveillance)</t>
  </si>
  <si>
    <t>dig0</t>
  </si>
  <si>
    <t xml:space="preserve">&lt;br&gt;In the past 30 days, did this outlet/ business have  &lt;b&gt;running water&lt;/b&gt;? </t>
  </si>
  <si>
    <t xml:space="preserve">&lt;br&gt;Au cours des 30 derniers jours, ce point de vente/entreprise disposait-il de l'&lt;b&gt;eau courante&lt;/b&gt; ? </t>
  </si>
  <si>
    <t>select_one lbltechfunction</t>
  </si>
  <si>
    <t>dig1</t>
  </si>
  <si>
    <t xml:space="preserve">&lt;br&gt;In the past 30 days, did this outlet/ business have  &lt;b&gt;electricity&lt;/b&gt;? </t>
  </si>
  <si>
    <t>&lt;br&gt;Au cours des 30 derniers jours, ce point de vente/entreprise avait-il de l’&lt;b&gt;électricité&lt;/b&gt; ?</t>
  </si>
  <si>
    <t>dig2</t>
  </si>
  <si>
    <t xml:space="preserve">&lt;br&gt;In the past 30 days, did this outlet/ business have  &lt;b&gt;access to any phone&lt;/b&gt;? </t>
  </si>
  <si>
    <t>This may be a phone belonging to the business or the business owner</t>
  </si>
  <si>
    <t>&lt;br&gt;Au cours des 30 derniers jours, ce point de vente/entreprise a-t-il eu &lt;b&gt;accès à un téléphone&lt;/b&gt; ?</t>
  </si>
  <si>
    <t>Il peut s'agir d'un téléphone appartenant à l'entreprise ou au propriétaire de l'entreprise</t>
  </si>
  <si>
    <t>select_multiple phonetype</t>
  </si>
  <si>
    <t>dig2b</t>
  </si>
  <si>
    <t xml:space="preserve">&lt;br&gt; What type of phone? </t>
  </si>
  <si>
    <t>${dig2}=1 or ${dig2}=2</t>
  </si>
  <si>
    <t xml:space="preserve">&lt;br&gt;Quel type de téléphone ? </t>
  </si>
  <si>
    <t>dig2c</t>
  </si>
  <si>
    <t>&lt;br&gt;In the past 30 days, did this outlet/ business have &lt;b&gt;network for voice and SMS&lt;/b&gt;?</t>
  </si>
  <si>
    <t xml:space="preserve">selected(${dig2b},'2')  or selected(${dig2b},'3') or selected(${dig2b},'4') </t>
  </si>
  <si>
    <t>&lt;br&gt;Au cours des 30 derniers jours, ce point de vente/entreprise disposait-il d'un &lt;b&gt;réseau pour la voix et les SMS&lt;/b&gt; ?</t>
  </si>
  <si>
    <t>MAY REQUIRE INPUT/EDIT TO LABEL OR CHOICES - use country specific/ relevant applications</t>
  </si>
  <si>
    <t>select_multiple cell_apps</t>
  </si>
  <si>
    <t>dig2d</t>
  </si>
  <si>
    <t>&lt;br&gt; Select which of the following applications/ services you have used on this phone in the last 30 days:</t>
  </si>
  <si>
    <t>&lt;br&gt;Sélectionnez parmi les applications/services suivants lesquels vous avez utilisés sur ce téléphone au cours des 30 derniers jours :</t>
  </si>
  <si>
    <t>dig3</t>
  </si>
  <si>
    <t>&lt;br&gt;In the past 30 days, did this outlet/ business have &lt;b&gt; internet connection (WiFi or fixed)&lt;/b&gt;?</t>
  </si>
  <si>
    <t>&lt;br&gt;Au cours des 30 derniers jours, ce point de vente/entreprise disposait-il d'une &lt;b&gt; connexion Internet (Wi-Fi ou fixe)&lt;/b&gt; ?</t>
  </si>
  <si>
    <t>MAY REQUIRE INPUT/EDIT TO LABEL OR CHOICES - use country specific/ relevant terminology</t>
  </si>
  <si>
    <t>select_one internettype</t>
  </si>
  <si>
    <t>dig4</t>
  </si>
  <si>
    <t>&lt;br&gt; What type of Internet connection do you use &lt;b&gt;most often&lt;/b&gt; to connect to the Internet?</t>
  </si>
  <si>
    <t>(${dig3}=1 or ${dig3}=2) and ${inf}!=1</t>
  </si>
  <si>
    <t>&lt;br&gt;Quel type de connexion Internet utilisez-vous &lt;b&gt;le plus souvent&lt;/b&gt; pour vous connecter à l'Internet ?</t>
  </si>
  <si>
    <t>dig5</t>
  </si>
  <si>
    <t xml:space="preserve">&lt;br&gt;In the past 30 days, did this outlet/ business have  &lt;b&gt;access to any tablets or computers&lt;/b&gt;? </t>
  </si>
  <si>
    <t xml:space="preserve">&lt;br&gt;Au cours des 30 derniers jours, ce point de vente/entreprise dispose-t-il &lt;b&gt; des tablettes ou des ordinateurs&lt;/b&gt; ? </t>
  </si>
  <si>
    <t>select_multiple computertype</t>
  </si>
  <si>
    <t>dig5b</t>
  </si>
  <si>
    <t xml:space="preserve">&lt;br&gt; What types of tablets or computers does this outlet/ business have? </t>
  </si>
  <si>
    <t>(${dig5}=1 or ${dig5}=2) and ${inf}!=1</t>
  </si>
  <si>
    <t xml:space="preserve">&lt;Quels sont les types de tablettes ou d'ordinateurs dont dispose ce point de vente/entreprise ? </t>
  </si>
  <si>
    <t>dig7</t>
  </si>
  <si>
    <t xml:space="preserve">MAY REQUIRE INPUT/EDIT TO LABEL OR CHOICES - use country specific/ relevant functions/ tech uses in private outlets 
There is no indicator included in the analysis for these questions, but may be useful information for desigining surveillance or other tech-based interventions </t>
  </si>
  <si>
    <t>select_one lbltechuse</t>
  </si>
  <si>
    <t>dig7_0</t>
  </si>
  <si>
    <t>&lt;br&gt; &lt;b&gt;For each of the following business activities, identify if you currently use digital technology, would like to digitize, or are not interested in digitizing the activity. &lt;/b&gt;
(Digital technology includes computers, tablets and smartphones with an internet connection)&lt;br&gt;</t>
  </si>
  <si>
    <t>Read the list. All rows must have responses before you can proceed.</t>
  </si>
  <si>
    <t>label</t>
  </si>
  <si>
    <t>&lt;br&gt; &lt;b&gt;Pour chacune des activités commerciales suivantes, indiquez si vous utilisez actuellement la technologie digitale, si vous aimeriez la digitaliser ou si vous n'êtes pas intéressé par la digitalisation de l'activité. &lt;/b&gt;&lt;br&gt;
(La technologie digitale comprend les ordinateurs, les tablettes et les smartphones avec une connexion internet)&lt;br&gt;.</t>
  </si>
  <si>
    <t>Lisez la liste. Toutes les lignes doivent contenir des réponses avant de pouvoir continuer.</t>
  </si>
  <si>
    <t>dig7_1</t>
  </si>
  <si>
    <t>Managing sales</t>
  </si>
  <si>
    <t>list-nolabel</t>
  </si>
  <si>
    <t>Gestion des ventes</t>
  </si>
  <si>
    <t>dig7_2</t>
  </si>
  <si>
    <t>Managing stock</t>
  </si>
  <si>
    <t>Gestion des stocks</t>
  </si>
  <si>
    <t>dig7_3</t>
  </si>
  <si>
    <t>Placing orders with your suppliers</t>
  </si>
  <si>
    <t>Passer des commandes à vos fournisseurs</t>
  </si>
  <si>
    <t>dig7_4</t>
  </si>
  <si>
    <t>Paying your suppliers</t>
  </si>
  <si>
    <t>Payer vos fournisseurs</t>
  </si>
  <si>
    <t>dig7_5</t>
  </si>
  <si>
    <t>Managing human resources (e.g. payroll, schedule)</t>
  </si>
  <si>
    <t>Gestion des ressources humaines (par exemple, salaires, horaires)</t>
  </si>
  <si>
    <t>dig7b</t>
  </si>
  <si>
    <t>&lt;br&gt;Do you carry out any other types of business activities using digital technology?&lt;br&gt;</t>
  </si>
  <si>
    <t>&lt;br&gt;Effectuez-vous d'autres types d'activités commerciales à l'aide de la technologie digitale ?</t>
  </si>
  <si>
    <t>dig7bi</t>
  </si>
  <si>
    <t>Specify other activities:</t>
  </si>
  <si>
    <t>${dig7b}=1</t>
  </si>
  <si>
    <t>Précisez les autres activités :</t>
  </si>
  <si>
    <t>checkpoint5</t>
  </si>
  <si>
    <t>End of section 5 of X</t>
  </si>
  <si>
    <t>&lt;font color="green"&gt;CHECKPOINT 5&lt;br&gt;&lt;br&gt;&lt;b&gt;INTERVIEWER&lt;/b&gt;&lt;br&gt;Are you able to continue the interview, that is, this interview &lt;b&gt;has not&lt;/b&gt; been interrupted?&lt;/font&gt;</t>
  </si>
  <si>
    <t>section6</t>
  </si>
  <si>
    <t>Section 6: Outlet participation in monitoring</t>
  </si>
  <si>
    <t>${prov_int}=1 and ${inf}!=1 and ${checkpoint5}=1</t>
  </si>
  <si>
    <t>INST_data</t>
  </si>
  <si>
    <t>&lt;br&gt;&lt;br&gt;&lt;h4&gt;Provider module section 6: outlet participation in monitoring&lt;/h4&gt;&lt;br&gt;
&lt;font color="blue"&gt;
&lt;b&gt;Interviewer:&lt;/b&gt; &lt;i&gt;If available, complete this section by addressing the person responsible for data management at this outlet/ business, such as the head nurse, general nurse, pharmacy manager, or owner.&lt;/i&gt;
&lt;/font&gt;</t>
  </si>
  <si>
    <t>&lt;br&gt;&lt;br&gt;&lt;h4&gt;Provider module section 4 : Digital&lt;/h4&gt;&lt;br&gt;
&lt;h4&gt;4.B Données de routine&lt;/h4&gt;&lt;br&gt;
&lt;font color="blue"&gt;
&lt;b&gt;Enquêteur :&lt;/b&gt; &lt;i&gt;Si disponible, complétez cette section en vous adressant à la personne responsable de la gestion des données dans ce point de vente/entreprise, comme l'infirmière en chef, l'infirmière générale, le responsable de la pharmacie ou le propriétaire.&lt;/i&gt;
&lt;/font&gt;</t>
  </si>
  <si>
    <t>13.1 Outlet participation in monitoring: Proportion of outlets that report any information on malaria cases</t>
  </si>
  <si>
    <t>data1</t>
  </si>
  <si>
    <t>&lt;br&gt; Do you report malaria case data each month?</t>
  </si>
  <si>
    <t>i.e. Do you report to the local health administration/ ward? To any project?</t>
  </si>
  <si>
    <t>&lt;br&gt;Est-ce que vous communiquez les données concernant le nombre de cas de paludisme chaque mois ?</t>
  </si>
  <si>
    <t>c'est-à-dire, vous rapportez à l'administration sanitaire locale/au service ? À un projet quelconque ?</t>
  </si>
  <si>
    <t>13.2 Outlet participation in monitoring by reporting system: Proportion of outlets that report in to selected reporting systems or using selected forms (expected information systems or forms used to capture data from the private sector should be defined for each country of implementation (e.g. IDSR, HMIS, DHIS2, project-specific NGO lead reporting etc.)</t>
  </si>
  <si>
    <t xml:space="preserve">REQUIRES INPUT/EDIT TO LABEL OR CHOICES - edit choices to include relevant information systems or forms used to report malaria (case) data and udpate the question to read clearly based on monitoring approach used in country. </t>
  </si>
  <si>
    <t>select_multiple formulaire</t>
  </si>
  <si>
    <t>data2</t>
  </si>
  <si>
    <t>&lt;br&gt; What forms and tools do you use to &lt;b&gt;report&lt;/b&gt; malaria-related data to higher levels of the health system?</t>
  </si>
  <si>
    <t xml:space="preserve">Read the list.
Select all that apply  </t>
  </si>
  <si>
    <t>INTERVIEWER:
Multiple choice questions can not have "Don’t know" AND another response both selected.
Please verify the responses with the respondent.</t>
  </si>
  <si>
    <t>if(selected(., "98"), count-selected(.) = 1, count-selected(.) &gt;= 1)</t>
  </si>
  <si>
    <t>${data1}=1</t>
  </si>
  <si>
    <t>compact-2</t>
  </si>
  <si>
    <t>&lt;br&gt;Quels formulaires et outils utilisez-vous pour &lt;b&gt;rapporter&lt;/b&gt; les données relatives au paludisme aux niveaux supérieurs du système de santé ?</t>
  </si>
  <si>
    <t>J'ai lu la liste.
Sélectionnez tout ce qui s'applique</t>
  </si>
  <si>
    <t>ENQUETEUR:
Les questions à choix multiples ne peuvent pas comporter à la fois la réponse « Je ne sais pas » et une autre réponse sélectionnée.
Veuillez vérifier les réponses auprès du répondant.</t>
  </si>
  <si>
    <t>data2b</t>
  </si>
  <si>
    <t>Other forms and tools used to report data:</t>
  </si>
  <si>
    <t>${data2}=96</t>
  </si>
  <si>
    <t>Autres formulaires et outils utilisés pour communiquer les données :</t>
  </si>
  <si>
    <t>checkpoint6</t>
  </si>
  <si>
    <t>End of section 6 of X</t>
  </si>
  <si>
    <t>&lt;font color="green"&gt;CHECKPOINT 6&lt;br&gt;&lt;br&gt;&lt;b&gt;INTERVIEWER&lt;/b&gt;&lt;br&gt;Are you able to continue the interview, that is, this interview &lt;b&gt;has not&lt;/b&gt; been interrupted?&lt;/font&gt;</t>
  </si>
  <si>
    <t>section7</t>
  </si>
  <si>
    <t>Section 7: Business practices</t>
  </si>
  <si>
    <t>${prov_int}=1 and ${inf}!=1 and ${checkpoint6}=1</t>
  </si>
  <si>
    <t>HEAD_3c</t>
  </si>
  <si>
    <t>7A</t>
  </si>
  <si>
    <t xml:space="preserve">&lt;h4&gt;Business practices &amp; customers&lt;/h4&gt;
&lt;br&gt;&lt;font color="blue"&gt;
&lt;b&gt;Interviewer: &lt;/b&gt;&lt;br&gt;
&lt;br&gt; We want to get a picture of how this outlet/ business fits within the supply chain of antimalarials. To do this, I will now ask some questions about both your customers and suppliers and other business practices. </t>
  </si>
  <si>
    <t>&lt;h4&gt;Pratiques commerciales et clients&lt;/h4&gt;
&lt;br&gt;&lt;font color="blue"&gt;
&lt;b&gt;Enquêteur: &lt;/b&gt;&lt;br&gt;
&lt;br&gt;Nous souhaitons avoir une idée de la place de ce point de vente/entreprise dans la chaîne d'approvisionnement des antipaludiques. Pour ce faire, vous allez maintenant poser quelques questions sur l'endroit où votre prestataire s'approvisionne en antipaludiques et à qui il les vendent.</t>
  </si>
  <si>
    <t>AM CUSTOMER TYPE AND %</t>
  </si>
  <si>
    <t>section7_customers</t>
  </si>
  <si>
    <t>Antimalarials &amp; RDT customers</t>
  </si>
  <si>
    <t>Clients</t>
  </si>
  <si>
    <t>[repeat] 14.1 Business practices: Proportion of outlets acting as wholesalers (i.e. outlets that report selling antimalarials or RDTs to be resold at another outlet/sells wholesale)</t>
  </si>
  <si>
    <t>This is a repeat of the same question in the Census section. The question makes more sense to ask at the beginning of the questionnaire, but the indicator is grouped in this section.  Please remove this row.</t>
  </si>
  <si>
    <t>PLACEHOLDER_DELETE_14.1</t>
  </si>
  <si>
    <t>NO</t>
  </si>
  <si>
    <t>[DELETE THIS ROW FROM THE FORM]  Does this [outlet or business] sell antimalarials or RDT to other outlets that re-sell the products?</t>
  </si>
  <si>
    <t>14.2 Business practices: Proportion of outlets that sell antimalarials or RDTs online</t>
  </si>
  <si>
    <t>retonline</t>
  </si>
  <si>
    <t>Does this outlet/ business sell antimalarials or RDTs online?</t>
  </si>
  <si>
    <t>Ce point de vente/entreprise vend-il des antipaludiques ou des TDR en ligne ?</t>
  </si>
  <si>
    <t>14.3 Business practices: Customer types:   Proportion of malaria commodities sold to each customer type (e.g. local retail customers, online retail, other retail businesses, other resale/ wholesale businesses)</t>
  </si>
  <si>
    <t>customercount</t>
  </si>
  <si>
    <t>p30</t>
  </si>
  <si>
    <t>How many retail customers did you sell antimalarials/RDTs to in the last 7 days?&lt;br&gt;</t>
  </si>
  <si>
    <t xml:space="preserve">Retail customers meaning individual customers who come and purchase medicines for personal use and not for resale. </t>
  </si>
  <si>
    <t>À combien de clients individuels avez-vous vendu des antipaludiques au cours des 7 derniers jours ?&lt;br&gt;</t>
  </si>
  <si>
    <t>les clients de détail, c'est-à-dire les clients individuels qui viennent acheter des médicaments pour leur usage personnel et non pour les revendre.</t>
  </si>
  <si>
    <t>p31</t>
  </si>
  <si>
    <t>How many wholesale customers did you sell antimalarials/RDTs to in the last 7 days?</t>
  </si>
  <si>
    <t xml:space="preserve">Record only the number of wholesale customers, NOT individual customers who come and purchase medicines for personal use and not for resale. 
Approximations are acceptable. </t>
  </si>
  <si>
    <t>${retws}=1</t>
  </si>
  <si>
    <t>À combien de grossistes avez-vous vendu des antipaludiques au cours des 7 derniers jours ?</t>
  </si>
  <si>
    <t>Enregistrez uniquement le nombre de clients grossistes, PAS les clients individuels qui viennent acheter des médicaments pour leur usage personnel et non pour la revente.
Les approximations sont acceptables.</t>
  </si>
  <si>
    <t>p32</t>
  </si>
  <si>
    <t>customer types:</t>
  </si>
  <si>
    <t>types de clients :</t>
  </si>
  <si>
    <t>p32_0</t>
  </si>
  <si>
    <t>&lt;b&gt;Which of the following types of clients or businesses do you sell antimalarials/RDTs to?&lt;/b&gt;</t>
  </si>
  <si>
    <t xml:space="preserve">Read each of the following options out loud: </t>
  </si>
  <si>
    <t>&lt;b&gt;À quels types de clients ou d'entreprises parmi les suivants vendez-vous des antipaludiques ou des TDR ?&lt;/b&gt;</t>
  </si>
  <si>
    <t>Lisez à haute voix chacune des options suivantes :</t>
  </si>
  <si>
    <t>p32_1</t>
  </si>
  <si>
    <t xml:space="preserve">&lt;b&gt;Individual customers/ clients&lt;/b&gt; &lt;br&gt; (i.e. retail only - for consumption not for re-sale) </t>
  </si>
  <si>
    <t>Response must be between 0 and 100</t>
  </si>
  <si>
    <t>(.&gt;=0 and .&lt;=100) or .=-9888 or .=-9777</t>
  </si>
  <si>
    <t>&lt;b&gt;Clients individuels&lt;/b&gt; &lt;br&gt; (c'est-à-dire uniquement au détail - pour la consommation et non pour la revente)</t>
  </si>
  <si>
    <t>La réponse doit être comprise entre 0 et 100</t>
  </si>
  <si>
    <t>p32_3</t>
  </si>
  <si>
    <t>&lt;b&gt;Terminal wholesalers &lt;/b&gt;&lt;br&gt; (e.g. pharmacies, health facilties, etc.) who sell to indivdual clients ONLY</t>
  </si>
  <si>
    <t>&lt;b&gt;Grossistes terminaux&lt;/b&gt;&lt;br&gt; (par exemple, pharmacies, établissements de santé, etc.) qui vendent UNIQUEMENT à des clients individuels</t>
  </si>
  <si>
    <t>p32_4</t>
  </si>
  <si>
    <t>&lt;b&gt;Intermediate wholesalers &lt;/b&gt;&lt;br&gt; (i.e. outlets/ busineses who supply other outlets/businesses - e.g. pharmacies who sell to drug shops, wholesalers)</t>
  </si>
  <si>
    <t>&lt;b&gt;Grossistes intermédiaires&lt;/b&gt;&lt;br&gt; (c'est-à-dire les points de vente/entreprises qui approvisionnent d'autres points de vente/entreprises - par exemple les pharmacies qui vendent aux dépôt de médicaments, les grossistes)</t>
  </si>
  <si>
    <t>p32_2</t>
  </si>
  <si>
    <t>Individual customers &lt;b&gt;ONLINE&lt;/b&gt;</t>
  </si>
  <si>
    <t>${retonline}=1</t>
  </si>
  <si>
    <t>Clients individuels &lt;b&gt;EN LIGNE&lt;/b&gt;</t>
  </si>
  <si>
    <t>p32_5</t>
  </si>
  <si>
    <t>Sell wholesale &lt;b&gt;ONLINE&lt;/b&gt;</t>
  </si>
  <si>
    <t>Vendre en gros &lt;b&gt;EN LIGNE&lt;/b&gt;</t>
  </si>
  <si>
    <t>p32_6</t>
  </si>
  <si>
    <t>Other</t>
  </si>
  <si>
    <t>Autres</t>
  </si>
  <si>
    <t>p32b</t>
  </si>
  <si>
    <t>Specify other customers:</t>
  </si>
  <si>
    <t>${p32_6}=1</t>
  </si>
  <si>
    <t>Spécifier autres clients :</t>
  </si>
  <si>
    <t>p34</t>
  </si>
  <si>
    <t xml:space="preserve">Can you estimate the proportion of antimalarials/RDTs you sell to each customer type in the last year?
&lt;br&gt;Report the estimated propotions by volume not cost
</t>
  </si>
  <si>
    <t>Proportion = percent out of 100</t>
  </si>
  <si>
    <t>Pouvez-vous estimer la proportion d'antipaludiques que vous vendez à chaque type de client au cours de l'année dernière ?
&lt;br&gt;Indiquez les proportions estimées en volume et pas en valeur monétaire</t>
  </si>
  <si>
    <t>Proportion = pourcentage sur 100</t>
  </si>
  <si>
    <t>p34b</t>
  </si>
  <si>
    <t>customer proportions:</t>
  </si>
  <si>
    <t>${p34}=1</t>
  </si>
  <si>
    <t>proportions de clients :</t>
  </si>
  <si>
    <t>p34b_0</t>
  </si>
  <si>
    <t>Estimate the % of antimalarial product you sell to each customer type in the past year:</t>
  </si>
  <si>
    <t>Estimez le % de produits antipaludiques que vous vendez à chaque type de client au cours de l'année dernière:</t>
  </si>
  <si>
    <t>p34b_1</t>
  </si>
  <si>
    <t>${p32_1}=1</t>
  </si>
  <si>
    <t>custom-extrabuttons(button1="Don't know", value1=-9888, autoadvance=0))</t>
  </si>
  <si>
    <t>&lt;b&gt;Clients individuels&lt;/b&gt; &lt;br&gt; (c'est-à-dire uniquement au détail - pour la consommation mais pas pour la revente)</t>
  </si>
  <si>
    <t>p34b_3</t>
  </si>
  <si>
    <t>&lt;b&gt;Terminal wholesalers &lt;/b&gt;&lt;br&gt; (e.g. pharmacies, health facilties, etc. who sell to indivdual clients ONLY</t>
  </si>
  <si>
    <t>${p32_3}=1</t>
  </si>
  <si>
    <t>&lt;b&gt;Grossistes terminaux&lt;/b&gt;&lt;br&gt; (par exemple, pharmacies, établissements de santé, etc. qui vendent UNIQUEMENT à des clients individuels)</t>
  </si>
  <si>
    <t>p34b_4</t>
  </si>
  <si>
    <t>${p32_4}=1</t>
  </si>
  <si>
    <t>&lt;b&gt;Grossistes intermédiaires&lt;/b&gt;&lt;br&gt; (c'est-à-dire les points de vente/entreprises qui approvisionnent d'autres points de vente/entreprises - par exemple les pharmacies qui vendent aux dépôts de médicament, les grossistes)</t>
  </si>
  <si>
    <t>p34b_2</t>
  </si>
  <si>
    <t>${p32_2}=1</t>
  </si>
  <si>
    <t>p34b_5</t>
  </si>
  <si>
    <t>${p32_5}=1</t>
  </si>
  <si>
    <t>p34b_6</t>
  </si>
  <si>
    <t>custom-extrabuttons(button1="Don't know", value1=-9888, autoadvance=1))</t>
  </si>
  <si>
    <t>p34b_1_check</t>
  </si>
  <si>
    <t>if(${p32_1}=1, ${p34b_1}, 0)</t>
  </si>
  <si>
    <t>p34b_2_check</t>
  </si>
  <si>
    <t>if(${p32_2}=1, ${p34b_2}, 0)</t>
  </si>
  <si>
    <t>p34b_3_check</t>
  </si>
  <si>
    <t>if(${p32_3}=1, ${p34b_3}, 0)</t>
  </si>
  <si>
    <t>p34b_4_check</t>
  </si>
  <si>
    <t>if(${p32_4}=1, ${p34b_4}, 0)</t>
  </si>
  <si>
    <t>p34b_5_check</t>
  </si>
  <si>
    <t>if(${p32_5}=1, ${p34b_5}, 0)</t>
  </si>
  <si>
    <t>p34b_6_check</t>
  </si>
  <si>
    <t>if(${p32_6}=1, ${p34b_6}, 0)</t>
  </si>
  <si>
    <t>p34b_check</t>
  </si>
  <si>
    <t>check sum of %</t>
  </si>
  <si>
    <t>${p34b_1_check}+ ${p34b_2_check} + ${p34b_3_check} + ${p34b_4_check} + ${p34b_5_check} + ${p34b_6_check}</t>
  </si>
  <si>
    <t>vérifie la somme de %</t>
  </si>
  <si>
    <t>p34b_WARN</t>
  </si>
  <si>
    <t>&lt;font color=blue&gt;&lt;h4&gt;&lt;b&gt;Interviewer: &lt;/b&gt;&lt;/h4&gt;&lt;br&gt;
&lt;br&gt;&lt;b&gt; The proportion of products by supplier types should equal 100%. &lt;/b&gt;&lt;br&gt;
&lt;br&gt;The current total entered is ${p34b_check}%. 
&lt;br&gt;&lt;font color=red&gt;&lt;br&gt;Please go back.</t>
  </si>
  <si>
    <t>${p34b_check}!=100 and ${p34}=1</t>
  </si>
  <si>
    <t>&lt;font color=blue&gt;&lt;h4&gt;&lt;b&gt;Enquêteur: &lt;/b&gt;&lt;/h4&gt;&lt;br&gt;
&lt;br&gt;&lt;b&gt;La somme de proportion pour l'ensemble de fournisseurs doit être égale à 100 %. &lt;/b&gt;&lt;br&gt;
&lt;br&gt;Le total actuellement saisi est de ${p34b_check}%.
&lt;br&gt;&lt;font color=red&gt;&lt;br&gt;Veuillez revenir en arrière.</t>
  </si>
  <si>
    <t>select_multiple customertype_3</t>
  </si>
  <si>
    <t>l1_1</t>
  </si>
  <si>
    <t>&lt;b&gt; You sell to TERMINAL WHOLESALERS who sell to individual clients ONLY:&lt;/b&gt;&lt;br&gt;
What types of &lt;b&gt;TERMINAL WHOLESALERS&lt;/b&gt; do you sell to?</t>
  </si>
  <si>
    <t>${p32_3}=1 and ${inf}!=1</t>
  </si>
  <si>
    <t>&lt;b&gt;Vous vendez à des GROSSISTES TERMINAUX qui vendent UNIQUEMENT à des clients individuels:&lt;/b&gt;&lt;br&gt;
À quels types de &lt;b&gt;GROSSISTES TERMINAUX&lt;/b&gt; vendez-vous ?</t>
  </si>
  <si>
    <t>l2_1</t>
  </si>
  <si>
    <t xml:space="preserve">&lt;b&gt; You sell to INTERMEDIATE WHOLESALERS who sell to other businesses, not to patients/ individual customers:&lt;/b&gt;&lt;br&gt;
What types of outlets/ businesses/ providers that re-sell your products do you sell to? </t>
  </si>
  <si>
    <t>${p32_4}=1 and ${inf}!=1</t>
  </si>
  <si>
    <t>&lt;b&gt;Vous vendez à des GROSSISTES INTERMÉDIAIRES qui vendent à d'autres entreprises, mais pas à des patients/clients individuels :&lt;/b&gt;&lt;br&gt;
À quels types de points de vente, d'entreprises ou de prestataires qui revendent vos produits vendez-vous ?</t>
  </si>
  <si>
    <t>select_multiple customerloc</t>
  </si>
  <si>
    <t>ind_0</t>
  </si>
  <si>
    <t>Where are your customers located?  i.e where do they come from to buy your products?</t>
  </si>
  <si>
    <t>Où se trouvent vos clients ? C'est-à-dire d'où viennent-ils pour acheter vos produits ?</t>
  </si>
  <si>
    <t>14.5 Business practices: Distribution methods:  Proportion of outlets reporting use various methods (pick-up, delivery, thrid-party carriers) to distribute antimalarials or RDTs to customers</t>
  </si>
  <si>
    <t>select_multiple distributionmethod</t>
  </si>
  <si>
    <t>l1_3</t>
  </si>
  <si>
    <t>How do you distribute your antimalarials/RDTs products ?</t>
  </si>
  <si>
    <t>Comment distribuez-vous vos produits antipaludiques que vous vendez aux &lt;b&gt;GROSSISTES TERMINAUX&lt;/b&gt; ?</t>
  </si>
  <si>
    <t>Lisez la liste.
Sélectionnez tout ce qui s'applique</t>
  </si>
  <si>
    <t>l1_3b</t>
  </si>
  <si>
    <t>Specify other distribution method(s):</t>
  </si>
  <si>
    <t>selected(${l1_3}, '96')</t>
  </si>
  <si>
    <t>Précisez les autres modes de distribution :</t>
  </si>
  <si>
    <t>AM SUPPLIER COUNT, TYPES. %</t>
  </si>
  <si>
    <t>14.4 Business practices: Supplier types:   Proportion of malaria commodities purchased from each supplier type (e.g. pharmacy, wholesale, importer, manufacture, etc.)</t>
  </si>
  <si>
    <t>section7_suppliersAM</t>
  </si>
  <si>
    <t>7B</t>
  </si>
  <si>
    <t>Antimalarial &amp; RDT suppliers</t>
  </si>
  <si>
    <t>${am_stockcurrent}=1 or ${am_stockpast}=1</t>
  </si>
  <si>
    <t>Section 7.A Sources d'antipaludéens</t>
  </si>
  <si>
    <t>sa1</t>
  </si>
  <si>
    <t>&lt;h4&gt;Suppliers&lt;/h4&gt;&lt;br&gt; How many different suppliers have you purchased antimalarials and/or RDTs from &lt;b&gt;in the last 3 months&lt;/b&gt;?</t>
  </si>
  <si>
    <t>&lt;h4&gt;Approvisionnement en antipaludiques&lt;/h4&gt;&lt;br&gt;Combien de fournisseurs avez-vous approché pour acheter des antipaludiques  &lt;b&gt;au cours des 3 derniers mois&lt;/b&gt; ?</t>
  </si>
  <si>
    <t>sa1_WARN1</t>
  </si>
  <si>
    <t>&lt;font color="red"&gt;&lt;b&gt;Interviewer: &lt;/b&gt;
&lt;i&gt;Confirm &lt;font color="blue"&gt;${sa1}&lt;/font&gt; is the correct number of different suppliers&lt;b&gt; the respondent has reported using for malaria commodities in the last 3 months&lt;/b&gt; before proceeding&lt;/i&gt;</t>
  </si>
  <si>
    <t>${sa1}&gt;=10</t>
  </si>
  <si>
    <t>&lt;font color="red"&gt;&lt;b&gt;Enquêteur : &lt;/b&gt;
&lt;i&gt;Confirmez que &lt;font color="blue"&gt;${sa1}&lt;/font&gt; est le nombre correct de fournisseurs que le répondant a déclaré avoir approché pour acheter les produits antipaludique au cours des 3 derniers mois&lt;/b&gt; avant de continuer&lt;/i&gt;</t>
  </si>
  <si>
    <t>sa2</t>
  </si>
  <si>
    <t>sa2_0</t>
  </si>
  <si>
    <t>&lt;b&gt;What types of suppliers does this outlet/ business use to purchase antimalarials and/or RDTs?&lt;/b&gt;</t>
  </si>
  <si>
    <t xml:space="preserve">You might need a probe a bit, but do not read out all of the responses. </t>
  </si>
  <si>
    <t>&lt;b&gt;Quels types de fournisseurs ce point de vente/entreprise approche-t-il pour acheter des antipaludiques ?&lt;/b&gt;</t>
  </si>
  <si>
    <t>Vous aurez peut-être besoin d'un petit sondage, mais ne lisez pas toutes les réponses.</t>
  </si>
  <si>
    <t>sa2_1</t>
  </si>
  <si>
    <t>Importer</t>
  </si>
  <si>
    <t>Importateur</t>
  </si>
  <si>
    <t>sa2_2</t>
  </si>
  <si>
    <t>INTERNATIONAL manufacturer</t>
  </si>
  <si>
    <t>Fabricant INTERNATIONAL</t>
  </si>
  <si>
    <t>sa2_3</t>
  </si>
  <si>
    <t>LOCAL manufacturer</t>
  </si>
  <si>
    <t>Fabricant local</t>
  </si>
  <si>
    <t>sa2_4</t>
  </si>
  <si>
    <t>Distributor</t>
  </si>
  <si>
    <t>Distributeur</t>
  </si>
  <si>
    <t>sa2_5</t>
  </si>
  <si>
    <t>Pharmacy</t>
  </si>
  <si>
    <t>Pharmacie</t>
  </si>
  <si>
    <t>sa2_6</t>
  </si>
  <si>
    <t>Public sector supply chain</t>
  </si>
  <si>
    <t>Chaîne d'approvisionnement du secteur public</t>
  </si>
  <si>
    <t>sa2_7</t>
  </si>
  <si>
    <t>Other private outlet/ shop</t>
  </si>
  <si>
    <t>Autre point de vente/magasin privé</t>
  </si>
  <si>
    <t>sa2_8</t>
  </si>
  <si>
    <t>Any other source</t>
  </si>
  <si>
    <t>N'importe quel autre source</t>
  </si>
  <si>
    <t>sa2b</t>
  </si>
  <si>
    <t>Other type of supplier?</t>
  </si>
  <si>
    <t>${sa2_8}=1</t>
  </si>
  <si>
    <t>Autre type de fournisseur ?</t>
  </si>
  <si>
    <t>sa3</t>
  </si>
  <si>
    <t xml:space="preserve">Can you estimate the proportion of antimalarials and/or RDTs you get from each supplier type? &lt;br&gt; 
</t>
  </si>
  <si>
    <t>Report estimated percentages by volume not cost. &lt;br&gt;
Proportion = percent out of 100</t>
  </si>
  <si>
    <t>${sa1}&gt;1 and ${inf}!=1</t>
  </si>
  <si>
    <t>Pouvez-vous estimer la proportion d'antipaludiques que vous avez obtenu de chaque type de fournisseur ? &lt;br&gt;</t>
  </si>
  <si>
    <t>Indiquez les pourcentages estimés en fonction du volume et non du coût. &lt;br&gt;
Proportion = pourcentage sur 100</t>
  </si>
  <si>
    <t>sa3b</t>
  </si>
  <si>
    <t>${sa3}=1 and ${inf}!=1</t>
  </si>
  <si>
    <t>sa3b_0</t>
  </si>
  <si>
    <t xml:space="preserve">&lt;b&gt;Estimate the % of antimalarials and/or RDTs product you get from each supplier type anually: 
</t>
  </si>
  <si>
    <t>&lt;b&gt;Estimez le % de produit antipaludique que vous avez obtenu de chaque type de fournisseur chaque année :</t>
  </si>
  <si>
    <t>sa3b_1</t>
  </si>
  <si>
    <t>${sa2_1}=1</t>
  </si>
  <si>
    <t>sa3b_2</t>
  </si>
  <si>
    <t>${sa2_2}=1</t>
  </si>
  <si>
    <t>sa3b_3</t>
  </si>
  <si>
    <t>${sa2_3}=1</t>
  </si>
  <si>
    <t>sa3b_4</t>
  </si>
  <si>
    <t>${sa2_4}=1</t>
  </si>
  <si>
    <t>sa3b_5</t>
  </si>
  <si>
    <t>${sa2_5}=1</t>
  </si>
  <si>
    <t>sa3b_6</t>
  </si>
  <si>
    <t>${sa2_6}=1</t>
  </si>
  <si>
    <t>sa3b_7</t>
  </si>
  <si>
    <t>${sa2_7}=1</t>
  </si>
  <si>
    <t>sa3b_8</t>
  </si>
  <si>
    <t>sa3b_1_check</t>
  </si>
  <si>
    <t>if(${sa2_1}=1, ${sa3b_1} ,0)</t>
  </si>
  <si>
    <t>sa3b_2_check</t>
  </si>
  <si>
    <t>if(${sa2_2}=1, ${sa3b_2} ,0)</t>
  </si>
  <si>
    <t>sa3b_3_check</t>
  </si>
  <si>
    <t>if(${sa2_3}=1, ${sa3b_3} ,0)</t>
  </si>
  <si>
    <t>sa3b_4_check</t>
  </si>
  <si>
    <t>if(${sa2_4}=1, ${sa3b_4} ,0)</t>
  </si>
  <si>
    <t>sa3b_5_check</t>
  </si>
  <si>
    <t>if(${sa2_5}=1, ${sa3b_5} ,0)</t>
  </si>
  <si>
    <t>sa3b_6_check</t>
  </si>
  <si>
    <t>if(${sa2_6}=1, ${sa3b_6} ,0)</t>
  </si>
  <si>
    <t>sa3b_7_check</t>
  </si>
  <si>
    <t>if(${sa2_7}=1, ${sa3b_7} ,0)</t>
  </si>
  <si>
    <t>sa3b_8_check</t>
  </si>
  <si>
    <t>if(${sa2_8}=1, ${sa3b_8} ,0)</t>
  </si>
  <si>
    <t>sa3b_check</t>
  </si>
  <si>
    <t>${sa3b_1_check}+ ${sa3b_2_check} + ${sa3b_3_check} + ${sa3b_4_check} + ${sa3b_5_check} + ${sa3b_6_check} + ${sa3b_7_check} + ${sa3b_8_check}</t>
  </si>
  <si>
    <t>vérifier la somme de %</t>
  </si>
  <si>
    <t>sa3b_WARN</t>
  </si>
  <si>
    <t>&lt;font color=blue&gt;&lt;h4&gt;&lt;b&gt;Interviewer: &lt;/b&gt;&lt;/h4&gt;&lt;br&gt;
&lt;br&gt;&lt;b&gt; The proportion of products by supplier types should equal 100%. The current total entered is ${sa3b_check}. 
&lt;br&gt;Please go back.</t>
  </si>
  <si>
    <t>${sa3b_check}!=100 and ${sa3}=1</t>
  </si>
  <si>
    <t>&lt;font color=blue&gt;&lt;h4&gt;&lt;b&gt;Enquêteur: &lt;/b&gt;&lt;/h4&gt;&lt;br&gt;
&lt;br&gt;&lt;b&gt;Le total de proportion pour l'ensemble des fournisseurs doit être égale à 100 %. Le total actuellement saisi est de ${sa3b_check}.
&lt;br&gt;Veuillez revenir en arrière.</t>
  </si>
  <si>
    <t>AM PROCUREMENT/PAYMENT/STABILITY</t>
  </si>
  <si>
    <t>section7_Amotherbusprac</t>
  </si>
  <si>
    <t>7C</t>
  </si>
  <si>
    <t>Antimalarial &amp; RDT procurement, payment, stability</t>
  </si>
  <si>
    <t>14.6 Business practices: Procurement methods:  Proportion of outlets reporting use of various  methods (pick-up, delivery, thrid-party carriers) to receive antimalarials or RDTs from suppliers</t>
  </si>
  <si>
    <t>select_one recept</t>
  </si>
  <si>
    <t>sa4</t>
  </si>
  <si>
    <t xml:space="preserve"> How do you most often receive your antimalarials and/ or RDTs from supplier(s)?</t>
  </si>
  <si>
    <t>Read the list.</t>
  </si>
  <si>
    <t>De quelle manière recevez-vous le plus fréquemment vos antipaludiques de la part de vos fournisseurs ?</t>
  </si>
  <si>
    <t>Lisez la liste.</t>
  </si>
  <si>
    <t>14.7 Business practices: Payment terms:  Proportion of outlets reporting using different method of payment for antimalarials (e.g. cash, credit, etc.) to purchase from suppliers</t>
  </si>
  <si>
    <t>select_multiple paie</t>
  </si>
  <si>
    <t>sa5</t>
  </si>
  <si>
    <t>What are the common methods of payment to your suppliers for antimalarials and/or RDTs?</t>
  </si>
  <si>
    <t>Read the list. Select all that apply.</t>
  </si>
  <si>
    <t>Quelles sont les méthodes de paiement les plus couramment utilisées auprès de vos fournisseurs pour l'achat d'antipaludiques ?</t>
  </si>
  <si>
    <t>Lisez la liste. Sélectionnez toutes les réponses qui s'appliquent.</t>
  </si>
  <si>
    <t>sa5_other</t>
  </si>
  <si>
    <t>Other payment method</t>
  </si>
  <si>
    <t xml:space="preserve">selected(${sa5},'96') </t>
  </si>
  <si>
    <t>Autre moyen de paiement</t>
  </si>
  <si>
    <t>select_one lblyesno_dk_r</t>
  </si>
  <si>
    <t>sa6</t>
  </si>
  <si>
    <t>&lt;br&gt; Do you buy antimalarials and/or RDTs on credit from any supplier?</t>
  </si>
  <si>
    <t>&lt;br&gt;Achetez-vous des médicaments antipaludiques à crédit auprès d'un de vos fournisseurs ?</t>
  </si>
  <si>
    <t>sa7</t>
  </si>
  <si>
    <t>&lt;br&gt; What are the most common credit terms, in terms of number of days to settle payment?</t>
  </si>
  <si>
    <t>Response must be between 0 and 365</t>
  </si>
  <si>
    <t>(.&gt;=0 and .&lt;=365) or .=-9888 or .=-9777</t>
  </si>
  <si>
    <t>${sa6}=1</t>
  </si>
  <si>
    <t>&lt;br&gt;Quelles sont les conditions de crédit les plus courantes, en termes de nombre de jours pour régler le paiement ?</t>
  </si>
  <si>
    <t>La réponse doit être comprise entre 0 et 365</t>
  </si>
  <si>
    <t>sa7_WARN1</t>
  </si>
  <si>
    <t>&lt;font color="red"&gt;&lt;b&gt;Interviewer: &lt;/b&gt;
&lt;i&gt;Confirm &lt;font color="blue"&gt;${sa7}&lt;/font&gt; is the correct number of days typically given to settle payment before proceeding&lt;/i&gt;&lt;/font&gt;</t>
  </si>
  <si>
    <t>${sa7}&gt;=31 and not(${sa7}=9777 or ${sa7}=9888)</t>
  </si>
  <si>
    <t>&lt;font color="red"&gt;&lt;b&gt;Enquêteur: &lt;/b&gt;
&lt;i&gt;Confirmez que &lt;font color="blue"&gt;${sa7}&lt;/font&gt; est le nombre correct de jours généralement accordés pour régler le paiement avant de procéder&lt;/i&gt;&lt;/font&gt;</t>
  </si>
  <si>
    <t>sa11</t>
  </si>
  <si>
    <t>&lt;br&gt; What brand of antimalarial do you sell to &lt;b&gt;individual clients&lt;/b&gt; or use most often at this facilty/outlet?</t>
  </si>
  <si>
    <t>Where possible, please enter the master brand name (e.g. Coartem) rather than a particular variant (Coartem 40/480). Please double check spelling and ask to see the product to confirm when possible</t>
  </si>
  <si>
    <t>&lt;br&gt;Quelle marque de médicament antipaludique vendez-vous aux &lt;b&gt;clients individuels&lt;/b&gt; ou utilisez-vous le plus souvent dans cet établissement de santé/point de vente ?</t>
  </si>
  <si>
    <t>Dans la mesure du possible, veuillez indiquer le nom de la marque principale (par exemple Coartem) plutôt qu'une variante particulière (Coartem 40/480). Veuillez vérifier l'orthographe et demander à voir le produit pour confirmer si possible</t>
  </si>
  <si>
    <t>sa12</t>
  </si>
  <si>
    <t>&lt;br&gt;In the &lt;b&gt;past 12 months&lt;/b&gt;, did you ever have to use another supplier for &lt;font color=blue${sa11}&lt;/font&gt; because your regular supplier did not have it in stock?</t>
  </si>
  <si>
    <t>&lt;br&gt;Au cours des &lt;b&gt;12 derniers mois&lt;/b&gt;, avez-vous déjà dû faire appel à un autre fournisseur pour &lt;font color=blue${sa11}&lt;/font&gt; parce que votre fournisseur habituel ne l'avait pas en stock ?</t>
  </si>
  <si>
    <t xml:space="preserve">14.8 Business practices: Perception of the stability of the wholesale market:  Proportion of outlets reporting preceived market instability or fluctuations (e.g. stock outs, price changes) that impact their purchasing practices </t>
  </si>
  <si>
    <t>select_one vari_prix</t>
  </si>
  <si>
    <t>sa13</t>
  </si>
  <si>
    <t>&lt;br&gt; In the &lt;b&gt;past 12 months&lt;/b&gt;, how has the price to purchase &lt;font color=blue&gt;${sa11}&lt;/font&gt; changed?</t>
  </si>
  <si>
    <t>&lt;br&gt;Au cours des &lt;b&gt;12 derniers mois&lt;/b&gt;, comment le prix d'achat de &lt;font color=blue&gt;${sa11}&lt;/font&gt; a-t-il évolué ?</t>
  </si>
  <si>
    <t>select_one raison_chan</t>
  </si>
  <si>
    <t>sa14</t>
  </si>
  <si>
    <t>&lt;br&gt; In your opinion, what is the &lt;b&gt;main reason&lt;/b&gt; for price changes over the &lt;b&gt;past 12 months&lt;/b&gt;?</t>
  </si>
  <si>
    <t>${sa13}!=1 and ${inf}!=1</t>
  </si>
  <si>
    <t>&lt;br&gt;Selon vous, quelle est la &lt;b&gt;principale raison&lt;/b&gt; des variations de prix au cours des &lt;b&gt;12 derniers mois&lt;/b&gt; ?</t>
  </si>
  <si>
    <t>sa14_other</t>
  </si>
  <si>
    <t xml:space="preserve">Specify other reasons for price changes: </t>
  </si>
  <si>
    <t xml:space="preserve">selected(${sa14},'96') </t>
  </si>
  <si>
    <t>Précisez les autres raisons des changements de prix :</t>
  </si>
  <si>
    <t>select_one prix_volat</t>
  </si>
  <si>
    <t>sa15</t>
  </si>
  <si>
    <t>&lt;br&gt; Think about your &lt;b&gt;${sa11}&lt;/b&gt; purchases over &lt;b&gt;the last 12 months&lt;/b&gt;.&lt;br&gt; 
Have prices been less stable, about the same, or more stable than in the past two years?</t>
  </si>
  <si>
    <t>&lt;br&gt;Réfléchissez à vos achats de &lt;b&gt;${sa11}&lt;/b&gt; au cours des &lt;b&gt;12 derniers mois&lt;/b&gt;.&lt;br&gt;
Les prix ont-ils été moins stables, à peu près identiques ou plus stables qu'au cours des deux dernières années ?</t>
  </si>
  <si>
    <t>section7_AMotherbusprac</t>
  </si>
  <si>
    <t>Antimalarial procurement, payment, stability</t>
  </si>
  <si>
    <t>ws_practices</t>
  </si>
  <si>
    <t>7E</t>
  </si>
  <si>
    <t>Wholesale business practices</t>
  </si>
  <si>
    <t>${retws}=1 and ${inf}!=1</t>
  </si>
  <si>
    <t>Pratiques commerciales de gros</t>
  </si>
  <si>
    <t>ws1</t>
  </si>
  <si>
    <t xml:space="preserve">Do you import antimalarials? </t>
  </si>
  <si>
    <t>Importez-vous des antipaludiques ?</t>
  </si>
  <si>
    <t>ws1b</t>
  </si>
  <si>
    <t xml:space="preserve">Where do you import antimalarials from (include company names and countries where possible). </t>
  </si>
  <si>
    <t>${ws1}=1</t>
  </si>
  <si>
    <t>D’où importez-vous les antipaludiques (indiquez les noms des entreprises et des pays, si possible).</t>
  </si>
  <si>
    <t>ws12</t>
  </si>
  <si>
    <t xml:space="preserve">&lt;br&gt;In the &lt;b&gt;past 3 months&lt;/b&gt;, have you given credit to &lt;b&gt;wholesale&lt;/b&gt; customers who purchased antimalarials? </t>
  </si>
  <si>
    <t>&lt;br&gt;Au cours des &lt;b&gt;3 derniers mois&lt;/b&gt;, avez-vous accordé du crédit à des clients &lt;b&gt;grossistes&lt;/b&gt; qui ont acheté des antipaludiques ?</t>
  </si>
  <si>
    <t>ws13</t>
  </si>
  <si>
    <t xml:space="preserve">&lt;br&gt;What are the most common terms of your credit in days? </t>
  </si>
  <si>
    <t>${ws12}=1</t>
  </si>
  <si>
    <t>&lt;br&gt;Quelles sont les conditions les plus courantes de votre crédit en jours ?</t>
  </si>
  <si>
    <t>ws13_warning</t>
  </si>
  <si>
    <t>&lt;font color="red"&gt; You have entered that this wholesaler typically provides 
&lt;b&gt;&lt;font color="blue"&gt;${ws13}&lt;/b&gt;&lt;font color="red"&gt;  days credit for customers who purchase antimalarials.
&lt;br&gt;If that is correct, proceed.
&lt;br&gt;If not, go back and edit your response.&lt;br&gt;</t>
  </si>
  <si>
    <t>${ws13}&gt;=30</t>
  </si>
  <si>
    <t>&lt;font color="red"&gt; Vous avez indiqué que ce grossiste fournit généralement
&lt;b&gt;&lt;font color="blue"&gt;${ws13}&lt;/b&gt;&lt;font color="red"&gt; jours de crédit aux clients qui achètent des antipaludiques.
&lt;br&gt;Si c'est correct, continuez.
&lt;br&gt;Si ce n'est pas le cas, revenez en arrière et modifiez votre réponse.&lt;br&gt;</t>
  </si>
  <si>
    <t>network</t>
  </si>
  <si>
    <t>7F</t>
  </si>
  <si>
    <t>Business network</t>
  </si>
  <si>
    <t>Réseau d'affaires</t>
  </si>
  <si>
    <t>ws5a</t>
  </si>
  <si>
    <t xml:space="preserve">&lt;br&gt;Does the owner of this business own any other stores or businesses that sell antimalarials or RDTs? </t>
  </si>
  <si>
    <t>&lt;br&gt;Le propriétaire de cette entreprise possède-t-il d'autres magasins ou entreprises qui vendent des antipaludiques ou des TDR ?</t>
  </si>
  <si>
    <t>select_multiple businesstype</t>
  </si>
  <si>
    <t>ws5b</t>
  </si>
  <si>
    <r>
      <rPr>
        <sz val="10"/>
        <color rgb="FF000000"/>
        <rFont val="Roboto"/>
      </rPr>
      <t>&lt;br&gt;</t>
    </r>
    <r>
      <rPr>
        <sz val="10"/>
        <color rgb="FF000000"/>
        <rFont val="Roboto Light"/>
      </rPr>
      <t>What types of other stores or businesses does the owner own that sell antimalarials or RDTs</t>
    </r>
    <r>
      <rPr>
        <sz val="10"/>
        <color rgb="FF000000"/>
        <rFont val="Roboto Light"/>
      </rPr>
      <t xml:space="preserve">? </t>
    </r>
  </si>
  <si>
    <t>selected(${ws5a}, '1')</t>
  </si>
  <si>
    <t>&lt;br&gt;Quels autres types de magasins ou entreprises le propriétaire possède-t-il qui vendent des antipaludiques ou des TDR ?</t>
  </si>
  <si>
    <t>ws5b_other</t>
  </si>
  <si>
    <t>Specify other business type:</t>
  </si>
  <si>
    <t>selected(${ws5b}, '96')</t>
  </si>
  <si>
    <t>Précisez autre type d'entreprise :</t>
  </si>
  <si>
    <t>p_cmts</t>
  </si>
  <si>
    <t>&lt;font color=blue&gt;&lt;b&gt;Interviewer: &lt;/b&gt;&lt;/font&gt;&lt;br&gt;
[OPTIONAL] &lt;br&gt; Please add any other comments or description of  their customers, business practices, or distribution network here.</t>
  </si>
  <si>
    <t>&lt;font color=blue&gt;&lt;b&gt;Enquêteur: &lt;/b&gt;&lt;/font&gt;&lt;br&gt;
[FACULTATIF] &lt;br&gt;Veuillez ajouter ici tout autre commentaire ou description de leurs clients, de leurs pratiques commerciales ou de leur réseau de distribution.</t>
  </si>
  <si>
    <t>checkpoint7</t>
  </si>
  <si>
    <t>End of Section 7 of X</t>
  </si>
  <si>
    <t>&lt;font color="green"&gt;CHECKPOINT 7&lt;br&gt;&lt;br&gt;&lt;b&gt;INTERVIEWER&lt;/b&gt;&lt;br&gt;Are you able to continue the interview, that is, this interview &lt;b&gt;has not&lt;/b&gt; been interrupted?&lt;/font&gt;</t>
  </si>
  <si>
    <t>ANTIMALARIAL AUDIT MODULE
.</t>
  </si>
  <si>
    <t>This section is REQUIRED for assessing indicators related to antimalarial availability, price, and maket share</t>
  </si>
  <si>
    <t>sectionAMaudit</t>
  </si>
  <si>
    <t>${am_stockcurrent}=1 and ${do_audit}=1</t>
  </si>
  <si>
    <t xml:space="preserve">Section 5. Audit antipaludique </t>
  </si>
  <si>
    <t>select_one oui_non</t>
  </si>
  <si>
    <t>n1</t>
  </si>
  <si>
    <t xml:space="preserve">&lt;h4&gt;Antimalarial Audit&lt;/h4&gt;
&lt;br&gt;
&lt;br&gt;&lt;font color=blue&gt;&lt;i&gt;Interviewer: Show the photo catalogue of antimalarials and request to see the full range of antimalarials the outlet currently has in stock.&lt;/i&gt;&lt;/font&gt;
 &lt;br&gt;
&lt;br&gt;&lt;br&gt;&lt;b&gt;Confirm the presence of at least one antimalarial at this outlet: &lt;/b&gt;
</t>
  </si>
  <si>
    <t>&lt;h4&gt;Audit des antipaludiques&lt;/h4&gt;
&lt;br&gt;
&lt;br&gt;&lt;font color=blue&gt;&lt;i&gt;Enquêteur: présentez le catalogue de photo des antipaludiques et demandez à voir la gamme complète des antipaludiques actuellement en stock dans le point de vente.&lt;/i&gt;&lt;/font&gt;
&lt;br&gt;
&lt;br&gt;&lt;br&gt;&lt;b&gt;Confirmez la présence d'au moins un antipaludique dans ce point de vente : &lt;/b&gt;</t>
  </si>
  <si>
    <t>select_one am_noaudit</t>
  </si>
  <si>
    <t>n2</t>
  </si>
  <si>
    <t xml:space="preserve">&lt;font color=red&gt;During the screening section of this interview, the provider said antimalarials were present. 
&lt;b&gt;Please confirm the provider doesn't have any products physically available, or indicate here why there is a discrepancy in responses e.g. the provider doesn't want to show them, etc.&lt;/b&gt;
Otherwise, go back and change your response to the previous question and continue with the audit.
 </t>
  </si>
  <si>
    <t>selected(${n1}, '0')</t>
  </si>
  <si>
    <t>&lt;font color=red&gt;Lors de la phase de criblage de cette interview, le prestataire a mentionné que des antipaludiques étaient disponibles.
&lt;b&gt;Veuillez confirmer que le prestataire n'a aucun produit disponible physiquement, ou indiquer ici pourquoi il y a une divergence dans les réponses, par exemple le prestataire ne veut pas les montrer, etc.&lt;/b&gt;
Sinon, revenez en arrière et modifiez votre réponse à la question précédente et continuez l'audit.</t>
  </si>
  <si>
    <t>n2_other</t>
  </si>
  <si>
    <t>selected(${n2},'96')</t>
  </si>
  <si>
    <t>Précisez si autre raison :</t>
  </si>
  <si>
    <t>n3</t>
  </si>
  <si>
    <t>&lt;font color=blue&gt;&lt;h4&gt;&lt;b&gt;Interviewer: &lt;/b&gt;&lt;/h4&gt;&lt;br&gt;
&lt;i&gt;&lt;h4&gt;INTERVIEWER: Now, carry out an antimalarial medicine audit.&lt;/h4&gt; 
&lt;br&gt;
&lt;b&gt;Instructions: &lt;/b&gt;
&lt;br&gt;(1) Collect one of every antimalarial available. 
&lt;br&gt;(2) Proceed with audit by swiping forward and selecting 'Add Group'. 
&lt;br&gt;(3) Complete all questions and add new groups for each different product.</t>
  </si>
  <si>
    <t>selected(${n1}, '1')</t>
  </si>
  <si>
    <t>&lt;font color=blue&gt;&lt;h4&gt;&lt;b&gt;Interviewer : &lt;/b&gt;&lt;/h4&gt;&lt;br&gt;
&lt;i&gt;&lt;h4&gt;ENQUETEUR: Procédez maintenant aux audits des médicaments antipaludiques.&lt;/h4&gt;
&lt;br&gt;
&lt;b&gt;Instructions : &lt;/b&gt;
&lt;br&gt;(1) Prenez un exemplaire de chaque antipaludique.
&lt;br&gt;(2) Réalisez l’audit en balayant vers l'avant et en sélectionnant « Ajouter un groupe ».
&lt;br&gt;(3) Complétez toutes les questions et ajoutez de nouveau groupe pour chaque produit.</t>
  </si>
  <si>
    <t>begin repeat</t>
  </si>
  <si>
    <t>amAudit</t>
  </si>
  <si>
    <t>Product details</t>
  </si>
  <si>
    <t>Détails du produit</t>
  </si>
  <si>
    <t>select_one fillmethod</t>
  </si>
  <si>
    <t>fillmethod</t>
  </si>
  <si>
    <t xml:space="preserve">&lt;b&gt;INTERVIEWER: &lt;/b&gt;Please select how you would like to select the product you are auditing: </t>
  </si>
  <si>
    <t xml:space="preserve">&lt;b&gt;ENQUETEUR : &lt;/b&gt;Veuillez choisir la méthode pour sélectionner le produit à auditer : </t>
  </si>
  <si>
    <t>DATABASE SEARCH</t>
  </si>
  <si>
    <t>am_search</t>
  </si>
  <si>
    <t>Database search:</t>
  </si>
  <si>
    <t>${fillmethod}=1</t>
  </si>
  <si>
    <t>Recherche dans la base de données :</t>
  </si>
  <si>
    <t xml:space="preserve">Note to user: it is suggested that the antimalarial masterlist compiled for your study is split in to a .csv for tablets and a .csv for non-tablets to improve the search function as the majority of products in the current masterlist are tablets. See instructions within the masterlist tool. </t>
  </si>
  <si>
    <t>search_typ_am</t>
  </si>
  <si>
    <t>Is this antimalarial a TABLET dose form?</t>
  </si>
  <si>
    <t>This selection will determine which database of known products you will search from. If you don’t know if the dose form is a tablet, select no and search for the product in the non-tablet database. If you cannot find it, you can try searching the tablet database. Most likely, you will need to manually enter information for products where the dose form in not known.</t>
  </si>
  <si>
    <t>S'agit-il d'un antipaludique présenté sous forme de comprimé ?</t>
  </si>
  <si>
    <t>Cette sélection déterminera la base de données de produits connus dans laquelle vous effectuerez la recherche. Si vous ne savez pas si la présentation est un comprimé, sélectionnez « non » et recherchez le produit dans la base de données des produits pas sous forme de comprimés. Si vous ne le trouvez pas, vous pouvez essayer de rechercher dans la base de données des comprimés. Il est fort probable que vous deviez saisir manuellement les informations pour les produits dont la forme posologique n'est pas connue.</t>
  </si>
  <si>
    <t>tablets</t>
  </si>
  <si>
    <t>Tablet</t>
  </si>
  <si>
    <t>${search_typ_am}=1</t>
  </si>
  <si>
    <t>Comprimé</t>
  </si>
  <si>
    <t>tabsearchtext</t>
  </si>
  <si>
    <t>Enter all or part of the brand name</t>
  </si>
  <si>
    <t>Saisir tout ou une partie du nom de la marque</t>
  </si>
  <si>
    <t>select_one amCode</t>
  </si>
  <si>
    <t>tab_amCode</t>
  </si>
  <si>
    <t>Select the product you want to audit</t>
  </si>
  <si>
    <t>${tabsearchtext}!=null</t>
  </si>
  <si>
    <t>search('awl_tab','contains', 'amBrand', ${tabsearchtext})</t>
  </si>
  <si>
    <t>Choisissez le produit que vous souhaitez auditer.</t>
  </si>
  <si>
    <t>tab_amBrand_search</t>
  </si>
  <si>
    <t>pulldata('awl_tab', 'amBrand', 'num_id', ${tab_amCode})</t>
  </si>
  <si>
    <t>tab_brand_search</t>
  </si>
  <si>
    <t>pulldata('awl_tab', 'brand', 'num_id', ${tab_amCode})</t>
  </si>
  <si>
    <t>tab_a3_search</t>
  </si>
  <si>
    <t>pulldata('awl_tab', 'a3', 'num_id', ${tab_amCode})</t>
  </si>
  <si>
    <t>tab_a3_lbl_search</t>
  </si>
  <si>
    <t>pulldata('awl_tab', 'a3_lbl', 'num_id', ${tab_amCode})</t>
  </si>
  <si>
    <t>tab_ai1_search</t>
  </si>
  <si>
    <t>pulldata('awl_tab', 'ai1_no', 'num_id', ${tab_amCode})</t>
  </si>
  <si>
    <t>tab_ai1_lbl_search</t>
  </si>
  <si>
    <t>pulldata('awl_tab', 'ai1', 'num_id', ${tab_amCode})</t>
  </si>
  <si>
    <t>tab_ai1_mg_search</t>
  </si>
  <si>
    <t>pulldata('awl_tab', 'ai1_mg', 'num_id', ${tab_amCode})</t>
  </si>
  <si>
    <t>tab_ai1_ml_search</t>
  </si>
  <si>
    <t>pulldata('awl_tab', 'ai1_ml', 'num_id', ${tab_amCode})</t>
  </si>
  <si>
    <t>tab_ai1_strength_search</t>
  </si>
  <si>
    <t>pulldata('awl_tab', 'a1_strength_lbl', 'num_id', ${tab_amCode})</t>
  </si>
  <si>
    <t>tab_ai2_search</t>
  </si>
  <si>
    <t>pulldata('awl_tab', 'ai2_no', 'num_id', ${tab_amCode})</t>
  </si>
  <si>
    <t>tab_ai2_lbl_search</t>
  </si>
  <si>
    <t>pulldata('awl_tab', 'ai2', 'num_id', ${tab_amCode})</t>
  </si>
  <si>
    <t>tab_ai2_mg_search</t>
  </si>
  <si>
    <t>pulldata('awl_tab', 'ai2_mg', 'num_id', ${tab_amCode})</t>
  </si>
  <si>
    <t>tab_ai2_ml_search</t>
  </si>
  <si>
    <t>pulldata('awl_tab', 'ai2_ml', 'num_id', ${tab_amCode})</t>
  </si>
  <si>
    <t>tab_ai2_strength_search</t>
  </si>
  <si>
    <t>pulldata('awl_tab', 'a2_strength_lbl', 'num_id', ${tab_amCode})</t>
  </si>
  <si>
    <t>tab_ai3_search</t>
  </si>
  <si>
    <t>pulldata('awl_tab', 'ai3_no', 'num_id', ${tab_amCode})</t>
  </si>
  <si>
    <t>tab_ai3_lbl_search</t>
  </si>
  <si>
    <t>pulldata('awl_tab', 'ai3', 'num_id', ${tab_amCode})</t>
  </si>
  <si>
    <t>tab_ai3_mg_search</t>
  </si>
  <si>
    <t>pulldata('awl_tab', 'ai3_mg', 'num_id', ${tab_amCode})</t>
  </si>
  <si>
    <t>tab_ai3_ml_search</t>
  </si>
  <si>
    <t>pulldata('awl_tab', 'ai3_ml', 'num_id', ${tab_amCode})</t>
  </si>
  <si>
    <t>tab_ai3_strength_search</t>
  </si>
  <si>
    <t>pulldata('awl_tab', 'a3_strength_lbl', 'num_id', ${tab_amCode})</t>
  </si>
  <si>
    <t>tab_manu_search</t>
  </si>
  <si>
    <t>pulldata('awl_tab', 'amManu', 'num_id', ${tab_amCode})</t>
  </si>
  <si>
    <t>not_tablet</t>
  </si>
  <si>
    <t>Non-Tablet</t>
  </si>
  <si>
    <t>${search_typ_am}!=1</t>
  </si>
  <si>
    <t>Non-comprimé</t>
  </si>
  <si>
    <t>ntab_searchtext</t>
  </si>
  <si>
    <t>ntab_amCode</t>
  </si>
  <si>
    <t>${ntab_searchtext}!=null</t>
  </si>
  <si>
    <t>search('awl_nontab','contains', 'amBrand', ${ntab_searchtext})</t>
  </si>
  <si>
    <t>ntab_amBrand_search</t>
  </si>
  <si>
    <t>pulldata('awl_nontab', 'amBrand', 'num_id', ${ntab_amCode})</t>
  </si>
  <si>
    <t>ntab_brand_search</t>
  </si>
  <si>
    <t>pulldata('awl_nontab', 'brand', 'num_id', ${ntab_amCode})</t>
  </si>
  <si>
    <t>ntab_a3_search</t>
  </si>
  <si>
    <t>pulldata('awl_nontab', 'a3', 'num_id', ${ntab_amCode})</t>
  </si>
  <si>
    <t>ntab_a3_lbl_search</t>
  </si>
  <si>
    <t>pulldata('awl_nontab', 'a3_lbl', 'num_id', ${ntab_amCode})</t>
  </si>
  <si>
    <t>ntab_ai1_search</t>
  </si>
  <si>
    <t>pulldata('awl_nontab', 'ai1_no', 'num_id', ${ntab_amCode})</t>
  </si>
  <si>
    <t>ntab_ai1_lbl_search</t>
  </si>
  <si>
    <t>pulldata('awl_nontab', 'ai1', 'num_id', ${ntab_amCode})</t>
  </si>
  <si>
    <t>ntab_ai1_mg_search</t>
  </si>
  <si>
    <t>pulldata('awl_nontab', 'ai1_mg', 'num_id', ${ntab_amCode})</t>
  </si>
  <si>
    <t>ntab_ai1_ml_search</t>
  </si>
  <si>
    <t>pulldata('awl_nontab', 'ai1_ml', 'num_id', ${ntab_amCode})</t>
  </si>
  <si>
    <t>ntab_ai1_strength_search</t>
  </si>
  <si>
    <t>pulldata('awl_nontab', 'a1_strength_lbl', 'num_id', ${ntab_amCode})</t>
  </si>
  <si>
    <t>ntab_ai2_search</t>
  </si>
  <si>
    <t>pulldata('awl_nontab', 'ai2_no', 'num_id', ${ntab_amCode})</t>
  </si>
  <si>
    <t>ntab_ai2_lbl_search</t>
  </si>
  <si>
    <t>pulldata('awl_nontab', 'ai2', 'num_id', ${ntab_amCode})</t>
  </si>
  <si>
    <t>ntab_ai2_mg_search</t>
  </si>
  <si>
    <t>pulldata('awl_nontab', 'ai2_mg', 'num_id', ${ntab_amCode})</t>
  </si>
  <si>
    <t>ntab_ai2_ml_search</t>
  </si>
  <si>
    <t>pulldata('awl_nontab', 'ai2_ml', 'num_id', ${ntab_amCode})</t>
  </si>
  <si>
    <t>ntab_ai2_strength_search</t>
  </si>
  <si>
    <t>pulldata('awl_nontab', 'a2_strength_lbl', 'num_id', ${ntab_amCode})</t>
  </si>
  <si>
    <t>ntab_ai3_search</t>
  </si>
  <si>
    <t>pulldata('awl_nontab', 'ai3_no', 'num_id', ${ntab_amCode})</t>
  </si>
  <si>
    <t>ntab_ai3_lbl_search</t>
  </si>
  <si>
    <t>pulldata('awl_nontab', 'ai3', 'num_id', ${ntab_amCode})</t>
  </si>
  <si>
    <t>ntab_ai3_mg_search</t>
  </si>
  <si>
    <t>pulldata('awl_nontab', 'ai3_mg', 'num_id', ${ntab_amCode})</t>
  </si>
  <si>
    <t>ntab_ai3_ml_search</t>
  </si>
  <si>
    <t>pulldata('awl_nontab', 'ai3_ml', 'num_id', ${ntab_amCode})</t>
  </si>
  <si>
    <t>ntab_ai3_strength_search</t>
  </si>
  <si>
    <t>pulldata('awl_nontab', 'a3_strength_lbl', 'num_id', ${ntab_amCode})</t>
  </si>
  <si>
    <t>ntab_manu_search</t>
  </si>
  <si>
    <t>pulldata('awl_nontab', 'amManu', 'num_id', ${ntab_amCode})</t>
  </si>
  <si>
    <t>amCode</t>
  </si>
  <si>
    <t>if(${search_typ_am}=1, ${tab_amCode}, ${ntab_amCode})</t>
  </si>
  <si>
    <t>brand_search</t>
  </si>
  <si>
    <t>if(${search_typ_am}=1, ${tab_brand_search}, ${ntab_brand_search})</t>
  </si>
  <si>
    <t>a3_search</t>
  </si>
  <si>
    <t>if(${search_typ_am}=1, ${tab_a3_search}, ${ntab_a3_search})</t>
  </si>
  <si>
    <t>a3_lbl_search</t>
  </si>
  <si>
    <t>if(${search_typ_am}=1, ${tab_a3_lbl_search}, ${ntab_a3_lbl_search})</t>
  </si>
  <si>
    <t>ai1_search</t>
  </si>
  <si>
    <t>if(${search_typ_am}=1, ${tab_ai1_search}, ${ntab_ai1_search})</t>
  </si>
  <si>
    <t>ai1_lbl_search</t>
  </si>
  <si>
    <t>if(${search_typ_am}=1, ${tab_ai1_lbl_search}, ${ntab_ai1_lbl_search})</t>
  </si>
  <si>
    <t>ai1_mg_search</t>
  </si>
  <si>
    <t>if(${search_typ_am}=1, ${tab_ai1_mg_search}, ${ntab_ai1_mg_search})</t>
  </si>
  <si>
    <t>ai1_ml_search</t>
  </si>
  <si>
    <t>if(${search_typ_am}=1, ${tab_ai1_ml_search}, ${ntab_ai1_ml_search})</t>
  </si>
  <si>
    <t>ai1_strength_search</t>
  </si>
  <si>
    <t>if(${search_typ_am}=1, ${tab_ai1_strength_search}, ${ntab_ai1_strength_search})</t>
  </si>
  <si>
    <t>ai2_search</t>
  </si>
  <si>
    <t>if(${search_typ_am}=1, ${tab_ai2_search}, ${ntab_ai2_search})</t>
  </si>
  <si>
    <t>ai2_lbl_search</t>
  </si>
  <si>
    <t>if(${search_typ_am}=1, ${tab_ai2_lbl_search}, ${ntab_ai2_lbl_search})</t>
  </si>
  <si>
    <t>ai2_mg_search</t>
  </si>
  <si>
    <t>if(${search_typ_am}=1, ${tab_ai2_mg_search}, ${ntab_ai2_mg_search})</t>
  </si>
  <si>
    <t>ai2_ml_search</t>
  </si>
  <si>
    <t>if(${search_typ_am}=1, ${tab_ai2_ml_search}, ${ntab_ai2_ml_search})</t>
  </si>
  <si>
    <t>ai2_strength_search</t>
  </si>
  <si>
    <t>if(${search_typ_am}=1, ${tab_ai2_strength_search}, ${ntab_ai2_strength_search})</t>
  </si>
  <si>
    <t>ai3_search</t>
  </si>
  <si>
    <t>if(${search_typ_am}=1, ${tab_ai3_search}, ${ntab_ai3_search})</t>
  </si>
  <si>
    <t>ai3_lbl_search</t>
  </si>
  <si>
    <t>if(${search_typ_am}=1, ${tab_ai3_lbl_search}, ${ntab_ai3_lbl_search})</t>
  </si>
  <si>
    <t>ai3_mg_search</t>
  </si>
  <si>
    <t>if(${search_typ_am}=1, ${tab_ai3_mg_search}, ${ntab_ai3_mg_search})</t>
  </si>
  <si>
    <t>ai3_ml_search</t>
  </si>
  <si>
    <t>if(${search_typ_am}=1, ${tab_ai3_ml_search}, ${ntab_ai3_ml_search})</t>
  </si>
  <si>
    <t>ai3_strength_search</t>
  </si>
  <si>
    <t>if(${search_typ_am}=1, ${tab_ai3_strength_search}, ${ntab_ai3_strength_search})</t>
  </si>
  <si>
    <t>manu_search</t>
  </si>
  <si>
    <t>if(${search_typ_am}=1, ${tab_manu_search}, ${ntab_manu_search})</t>
  </si>
  <si>
    <t>confirmAM_search</t>
  </si>
  <si>
    <t>&lt;b&gt;Product details&lt;/b&gt;
&lt;br&gt;&lt;font color=black&gt;Dosage form: 
&lt;br&gt;&lt;h4&gt;&lt;font color=blue&gt;${a3_lbl_search}&lt;/h4&gt;
&lt;br&gt;Brand:
&lt;br&gt;&lt;h4&gt;&lt;font color=blue&gt;${brand_search}&lt;/h4&gt; 
&lt;br&gt;&lt;font color=black&gt;Active ingredient(s) and strength(s):
&lt;br&gt;&lt;font color=blue&gt;${ai1_lbl_search} - ${ai1_strength_search}
&lt;br&gt;&lt;font color=blue&gt;${ai2_lbl_search} - ${ai2_strength_search}
&lt;br&gt;&lt;font color=blue&gt;${ai3_lbl_search} - ${ai3_strength_search}
&lt;br&gt;&lt;font color=black&gt;Manufacturer: 
&lt;br&gt;&lt;font color=blue&gt;${manu_search}
&lt;br&gt;
&lt;br&gt;&lt;font color=black&gt;&lt;b&gt;Confirm these details are correct:&lt;/b&gt;</t>
  </si>
  <si>
    <t>${brand_search}!=null</t>
  </si>
  <si>
    <t>&lt;b&gt;Détails du produit&lt;/b&gt;
&lt;br&gt;&lt;font color=black&gt;Présentation :
&lt;br&gt;&lt;h4&gt;&lt;font color=blue&gt;${a3_lbl_search}&lt;/h4&gt;
&lt;br&gt;Marque :
&lt;br&gt;&lt;h4&gt;&lt;font color=blue&gt;${brand_search}&lt;/h4&gt;
&lt;br&gt;&lt;font color=black&gt;Principe(s) actif(s) et dosage(s) :
&lt;br&gt;&lt;font color=blue&gt;${ai1_lbl_search} - ${ai1_strength_search}
&lt;br&gt;&lt;font color=blue&gt;${ai2_lbl_search} - ${ai2_strength_search}
&lt;br&gt;&lt;font color=blue&gt;${ai3_lbl_search} - ${ai3_strength_search}
&lt;br&gt;&lt;font color=black&gt;Fabricant :
&lt;br&gt;&lt;font color=blue&gt;${manu_search}
&lt;br&gt;
&lt;br&gt;&lt;font color=black&gt;&lt;b&gt;Confirmez que ces détails sont exacts et correct :&lt;/b&gt;</t>
  </si>
  <si>
    <t>nopreloadnote</t>
  </si>
  <si>
    <t>&lt;font color=red&gt;No pre-loaded data was found for this brand name. Therefore, you can manually enter product information.</t>
  </si>
  <si>
    <t>${amCode}=null</t>
  </si>
  <si>
    <t>&lt;font color=red&gt;Aucune donnée préchargée n'a été trouvée pour ce nom de marque. Vous pouvez donc saisir manuellement les informations sur le produit.</t>
  </si>
  <si>
    <t>wrongresult1</t>
  </si>
  <si>
    <t xml:space="preserve">&lt;font color=red&gt;You indicated that the details provided for &lt;br&gt;&lt;u&gt;&lt;h4&gt;&lt;font color=blue&gt;${tabsearchtext} ${ntab_searchtext}&lt;/u&gt;&lt;/h4&gt;&lt;font color=red&gt; were &lt;b&gt;NOT&lt;/b&gt; correct. 
&lt;br&gt;
If you would like to try a new search, go back and restart the search. 
&lt;br&gt;
If you would like to manually enter information for this product, please proceed. </t>
  </si>
  <si>
    <t>selected(${confirmAM_search}, '0')</t>
  </si>
  <si>
    <t>&lt;font color=red&gt;Vous avez indiqué que les détals des informations fournies &lt;br&gt;&lt;u&gt;&lt;h4&gt;&lt;font color=blue&gt;${tabsearchtext} ${ntab_searchtext}&lt;/u&gt;&lt;/h4&gt;&lt;font color=red&gt; n'étaient &lt;b&gt;PAS&lt;/b&gt; correctes.
&lt;br&gt;
Si vous souhaitez essayer de faire une nouvelle recherche, revenez en arrière et relancez la recherche.
&lt;br&gt;
Ou si vous souhaitez saisir manuellement les informations pour ce produit, veuillez continuer.</t>
  </si>
  <si>
    <t>select_one suspension</t>
  </si>
  <si>
    <t>a3_searchl_5_detail</t>
  </si>
  <si>
    <t xml:space="preserve">What type of suspension: </t>
  </si>
  <si>
    <t>${a3_search}=5</t>
  </si>
  <si>
    <t xml:space="preserve">Quel type de suspension ? </t>
  </si>
  <si>
    <t>a3_search_5_detail_other</t>
  </si>
  <si>
    <t>Specify other dosage form:</t>
  </si>
  <si>
    <t>${a3_searchl_5_detail}=96</t>
  </si>
  <si>
    <t>Spécifier si une autre forme de présentation :</t>
  </si>
  <si>
    <t>MANUAL ENTRY</t>
  </si>
  <si>
    <t>am_manual</t>
  </si>
  <si>
    <t>Manual entry:</t>
  </si>
  <si>
    <t>${fillmethod}=2 or selected(${confirmAM_search}, '0')</t>
  </si>
  <si>
    <t>Saisie manuelle :</t>
  </si>
  <si>
    <t>a3_manual</t>
  </si>
  <si>
    <t>Dosage form:</t>
  </si>
  <si>
    <t>Présentation :</t>
  </si>
  <si>
    <t>a3_manual_5_detail</t>
  </si>
  <si>
    <t>${a3_manual}=5</t>
  </si>
  <si>
    <t>a3_manual_5_detail_other</t>
  </si>
  <si>
    <t>Specify other suspension form:</t>
  </si>
  <si>
    <t>${a3_manual_5_detail}=96</t>
  </si>
  <si>
    <t>Spécifier une autre forme de présentation de suspension :</t>
  </si>
  <si>
    <t>hasml</t>
  </si>
  <si>
    <t>if((selected(${a3_manual},'4') or selected(${a3_manual_5_detail},'2') or selected(${a3_manual},'5') or selected(${a3_manual},'6') or selected(${a3_manual},'8') or selected(${a3_manual},'97')), 1, 0)</t>
  </si>
  <si>
    <t>a3_lbl_manual</t>
  </si>
  <si>
    <t>jr:choice-name(selected-at(${a3_manual},0), '${a3_manual}')</t>
  </si>
  <si>
    <t>a3_manual_other</t>
  </si>
  <si>
    <t>selected(${a3_manual}, '96')</t>
  </si>
  <si>
    <t>brand_manual</t>
  </si>
  <si>
    <t>Brand name:</t>
  </si>
  <si>
    <t>Include weight and age information e.g. "Coartem 20/120 5-14kg"</t>
  </si>
  <si>
    <t>Nom de marque :</t>
  </si>
  <si>
    <t>Inclure des informations sur le poids et l'âge, par exemple « Coartem 20/120 5-14 kg »</t>
  </si>
  <si>
    <t>manu_manual</t>
  </si>
  <si>
    <t>Manufacturer of &lt;font color=blue&gt;${brand_manual}</t>
  </si>
  <si>
    <t>Fabricant de &lt;font color=blue&gt;${brand_manual}</t>
  </si>
  <si>
    <t>ai</t>
  </si>
  <si>
    <t>active ingredients:</t>
  </si>
  <si>
    <t>Principes actifs :</t>
  </si>
  <si>
    <t>aiNum</t>
  </si>
  <si>
    <t>How many active ingredients are in &lt;font color=blue&gt;${brand_manual} ?</t>
  </si>
  <si>
    <t>Enter a number 1-3 or '0' if active ingredients are not known or not listed.</t>
  </si>
  <si>
    <t xml:space="preserve"> .&lt;=3</t>
  </si>
  <si>
    <t>Combien de principes actifs contient &lt;font color=blue&gt;${brand_manual} ?</t>
  </si>
  <si>
    <t>Entrez un chiffre compris entre 1-3 ou « 0 » si les principes actifs ne sont pas connus ou ne sont pas répertoriés.</t>
  </si>
  <si>
    <t>ai1</t>
  </si>
  <si>
    <t>ai1:</t>
  </si>
  <si>
    <t>${aiNum}&gt;=1</t>
  </si>
  <si>
    <t>ai1 :</t>
  </si>
  <si>
    <t>select_one lblAI</t>
  </si>
  <si>
    <t>ai1_manual</t>
  </si>
  <si>
    <t>Active ingredient 1 of &lt;font color=blue&gt;${brand_manual}</t>
  </si>
  <si>
    <t>Principe actif 1 de &lt;font color=blue&gt;${brand_manual}</t>
  </si>
  <si>
    <t>ai1_manual_lbl</t>
  </si>
  <si>
    <t>jr:choice-name(selected-at(${ai1_manual},0), '${ai1_manual}')</t>
  </si>
  <si>
    <t>ai1_strengths</t>
  </si>
  <si>
    <t>decimal</t>
  </si>
  <si>
    <t>ai1_mg_manual</t>
  </si>
  <si>
    <t xml:space="preserve">Strength of &lt;font color=blue&gt;${ai1_manual_lbl}
&lt;br&gt;
&lt;br&gt;
&lt;font color=black&gt;
mg: </t>
  </si>
  <si>
    <t xml:space="preserve"> .&gt; 0 and .&lt; 9999.9</t>
  </si>
  <si>
    <t>Dosage de &lt;font color=blue&gt;${ai1_manual_lbl}
&lt;br&gt;
&lt;br&gt;
&lt;font color=black&gt;
mg :</t>
  </si>
  <si>
    <t>ai1_ml_manual</t>
  </si>
  <si>
    <t>&lt;br&gt;&lt;br&gt;mL:</t>
  </si>
  <si>
    <t xml:space="preserve"> .&gt;=0 and .&lt;=9999</t>
  </si>
  <si>
    <t>selected(${a3_manual},'4') or selected(${a3_manual},'5') or selected(${a3_manual},'6') or selected(${a3_manual},'8') or selected(${a3_manual},'96')</t>
  </si>
  <si>
    <t>custom-extrabuttons(button1="Don't know", value1=-9888, button2="Not applicable/ no ml", value2=-9898, autoadvance=1))</t>
  </si>
  <si>
    <t>&lt;br&gt;&lt;br&gt;mL :</t>
  </si>
  <si>
    <t>ai1_strength_manual</t>
  </si>
  <si>
    <t>if(${hasml}=1, concat(${ai1_mg_manual}, 'mg/', ${ai1_ml_manual}, 'ml'), concat( ${ai1_mg_manual}, 'mg'))</t>
  </si>
  <si>
    <t>ai1_mg_manual_WARN</t>
  </si>
  <si>
    <t>&lt;font color=red&gt;&lt;b&gt;Interviewer: &lt;/b&gt;
&lt;i&gt;Confirm &lt;font color=blue&gt;${ai1_mg_manual}&lt;/font&gt; is the correct strength&lt;/i&gt;</t>
  </si>
  <si>
    <t>${ai1_mg_manual}&gt;600</t>
  </si>
  <si>
    <t>&lt;font color=red&gt;&lt;b&gt;Enquêteur: &lt;/b&gt;
&lt;i&gt;Confirmez que &lt;font color=blue&gt;${ai1_mg_manual}&lt;/font&gt; est le bon dosage&lt;/i&gt;</t>
  </si>
  <si>
    <t>ai1_ml_manual_WARN</t>
  </si>
  <si>
    <t>&lt;font color=red&gt;&lt;b&gt;Interviewer: &lt;/b&gt;
&lt;i&gt;Confirm &lt;font color=blue&gt;${ai1_ml_manual}&lt;/font&gt; is the correct strength&lt;/i&gt;</t>
  </si>
  <si>
    <t>${ai1_ml_manual}&gt;120</t>
  </si>
  <si>
    <t>&lt;font color=red&gt;&lt;b&gt;Enquêteur: &lt;/b&gt;
&lt;i&gt;Confirmez que &lt;font color=blue&gt;${ai1_ml_manual}&lt;/font&gt; est le bon dosage&lt;/i&gt;</t>
  </si>
  <si>
    <t>ai2</t>
  </si>
  <si>
    <t>ai2:</t>
  </si>
  <si>
    <t>${aiNum}&gt;=2</t>
  </si>
  <si>
    <t>ai2_manual</t>
  </si>
  <si>
    <t>Active ingredient 2 of &lt;font color=blue&gt;${brand_manual}
&lt;br&gt;
&lt;br&gt;
&lt;font color=black&gt;</t>
  </si>
  <si>
    <t>Principe actif 2 de &lt;font color=blue&gt;${brand_manual}
&lt;br&gt;
&lt;br&gt;
&lt;font color=black&gt;</t>
  </si>
  <si>
    <t>ai2_manual_lbl</t>
  </si>
  <si>
    <t>jr:choice-name(selected-at(${ai2_manual},0), '${ai2_manual}')</t>
  </si>
  <si>
    <t>ai2_strengths</t>
  </si>
  <si>
    <t>ai2_mg_manual</t>
  </si>
  <si>
    <t>Strength of &lt;font color=blue&gt;${ai2_manual_lbl}
&lt;br&gt;
&lt;br&gt;
&lt;font color=black&gt;
mg:</t>
  </si>
  <si>
    <t>Dosage de &lt;font color=blue&gt;${ai2_manual_lbl}
&lt;br&gt;
&lt;br&gt;
&lt;font color=black&gt;
mg :</t>
  </si>
  <si>
    <t>ai2_ml_manual</t>
  </si>
  <si>
    <t>ai2_strength_manual</t>
  </si>
  <si>
    <t>if(${hasml}=1, concat(${ai2_mg_manual}, 'mg/', ${ai2_ml_manual}, 'ml'), concat( ${ai2_mg_manual}, 'mg'))</t>
  </si>
  <si>
    <t>ai2_mg_manual_WARN</t>
  </si>
  <si>
    <t>&lt;font color=red&gt;&lt;b&gt;Interviewer: &lt;/b&gt;
&lt;i&gt;Confirm &lt;font color=blue&gt;${ai2_mg_manual}&lt;/font&gt; is the correct strength&lt;/i&gt;</t>
  </si>
  <si>
    <t>${ai2_mg_manual}&gt;600</t>
  </si>
  <si>
    <t>&lt;font color=red&gt;&lt;b&gt;Enquêteur: &lt;/b&gt;
&lt;i&gt;Confirmez que &lt;font color=blue&gt;${ai2_mg_manual}&lt;/font&gt; est le bon dosage&lt;/i&gt;</t>
  </si>
  <si>
    <t>ai2_ml_manual_WARN</t>
  </si>
  <si>
    <t>&lt;font color=red&gt;&lt;b&gt;Interviewer: &lt;/b&gt;
&lt;i&gt;Confirm &lt;font color=blue&gt;${ai2_ml_manual}&lt;/font&gt; is the correct strength&lt;/i&gt;</t>
  </si>
  <si>
    <t>${ai2_ml_manual}&gt;120</t>
  </si>
  <si>
    <t>&lt;font color=red&gt;&lt;b&gt;Enquêteur: &lt;/b&gt;
&lt;i&gt;Confirmez que &lt;font color=blue&gt;${ai2_ml_manual}&lt;/font&gt; est le bon dosage&lt;/i&gt;</t>
  </si>
  <si>
    <t>ai3</t>
  </si>
  <si>
    <t>ai3:</t>
  </si>
  <si>
    <t>${aiNum}&gt;=3</t>
  </si>
  <si>
    <t>ai3 :</t>
  </si>
  <si>
    <t>ai3_manual</t>
  </si>
  <si>
    <t>Active ingredient 3 of &lt;font color=blue&gt;${brand_manual}</t>
  </si>
  <si>
    <t>Principe actif 3 de &lt;font color=blue&gt;${brand_manual}</t>
  </si>
  <si>
    <t>ai3_manual_lbl</t>
  </si>
  <si>
    <t>jr:choice-name(selected-at(${ai3_manual},0), '${ai3_manual}')</t>
  </si>
  <si>
    <t>ai3_strengths</t>
  </si>
  <si>
    <t>ai3_mg_manual</t>
  </si>
  <si>
    <t>Strength of &lt;font color=blue&gt;${ai3_manual_lbl}
&lt;br&gt;
&lt;br&gt;
&lt;font color=black&gt;
mg:</t>
  </si>
  <si>
    <t>Dosage de &lt;font color=blue&gt;${ai3_manual_lbl}
&lt;br&gt;
&lt;br&gt;
&lt;font color=black&gt;
mg:</t>
  </si>
  <si>
    <t>ai3_ml_manual</t>
  </si>
  <si>
    <t>ai3_strength_manual</t>
  </si>
  <si>
    <t>if(${hasml}=1, concat(${ai3_mg_manual}, 'mg/', ${ai3_ml_manual}, 'ml'), concat( ${ai3_mg_manual}, 'mg'))</t>
  </si>
  <si>
    <t>ai3_mg_manual_WARN</t>
  </si>
  <si>
    <t>&lt;font color=red&gt;&lt;b&gt;Interviewer: &lt;/b&gt;
&lt;i&gt;Confirm &lt;font color=blue&gt;${ai3_mg_manual}&lt;/font&gt; is the correct strength&lt;/i&gt;</t>
  </si>
  <si>
    <t>${ai3_mg_manual}&gt;600</t>
  </si>
  <si>
    <t>&lt;font color=red&gt;&lt;b&gt;Enquêteur: &lt;/b&gt;
&lt;i&gt;Confirmez que &lt;font color=blue&gt;${ai3_mg_manual}&lt;/font&gt; est le bon dosage&lt;/i&gt;</t>
  </si>
  <si>
    <t>ai3_ml_manual_WARN</t>
  </si>
  <si>
    <t>&lt;font color=red&gt;&lt;b&gt;Interviewer: &lt;/b&gt;
&lt;i&gt;Confirm &lt;font color=blue&gt;${ai3_ml_manual}&lt;/font&gt; is the correct strength&lt;/i&gt;</t>
  </si>
  <si>
    <t>${ai3_ml_manual}&gt;120</t>
  </si>
  <si>
    <t>&lt;font color=red&gt;&lt;b&gt;Enquêteur: &lt;/b&gt;
&lt;i&gt;Confirmez que &lt;font color=blue&gt;${ai3_ml_manual}&lt;/font&gt; est le bon dosage&lt;/i&gt;</t>
  </si>
  <si>
    <t>am_manual2</t>
  </si>
  <si>
    <t>confirmation_mg</t>
  </si>
  <si>
    <t>&lt;b&gt;Confirm the product details entered&lt;/b&gt;
&lt;br&gt;&lt;font color=black&gt;Dosage form: 
&lt;br&gt;&lt;h4&gt;&lt;font color=blue&gt;${a3_lbl_manual}&lt;/h4&gt;
&lt;br&gt;&lt;br&gt;Brand:
&lt;br&gt;&lt;h4&gt;&lt;font color=red&gt;${brand_manual}&lt;/h4&gt; 
&lt;br&gt;&lt;font color=black&gt;Active ingredient(s) and strength(s) in mg (and mL for liquids):
&lt;br&gt;&lt;font color=blue&gt;${ai1_manual_lbl} - ${ai1_mg_manual}mg
&lt;br&gt;&lt;font color=blue&gt;${ai2_manual_lbl} - ${ai2_mg_manual}mg
&lt;br&gt;&lt;font color=blue&gt;${ai3_manual_lbl} - ${ai3_mg_manual}mg
&lt;br&gt;&lt;font color=black&gt;Manufacturer: 
&lt;br&gt;&lt;br&gt;&lt;font color=blue&gt;${manu_manual}
&lt;br&gt;
&lt;br&gt;Swipe forward if this information is correct. 
&lt;br&gt;Go back to fix any errors.</t>
  </si>
  <si>
    <t xml:space="preserve">selected(${a3_manual},'1') or selected(${a3_manual},'2') or selected(${a3_manual},'3') or selected(${a3_manual},'7') </t>
  </si>
  <si>
    <t>&lt;b&gt;Confirmer les détails du produit saisis&lt;/b&gt;
&lt;br&gt;&lt;font color=black&gt;Présentation :
&lt;br&gt;&lt;h4&gt;&lt;font color=blue&gt;${a3_lbl_manual}&lt;/h4&gt;
&lt;br&gt;&lt;br&gt;Nom de marque :
&lt;br&gt;&lt;h4&gt;&lt;font color=red&gt;${brand_manual}&lt;/h4&gt;
&lt;br&gt;&lt;font color=black&gt;Principe(s) actif(s) et dosage(s) en mg (et mL pour les liquides) :
&lt;br&gt;&lt;font color=blue&gt;${ai1_manual_lbl} - ${ai1_mg_manual}mg
&lt;br&gt;&lt;font color=blue&gt;${ai2_manual_lbl} - ${ai2_mg_manual}mg
&lt;br&gt;&lt;font color=blue&gt;${ai3_manual_lbl} - ${ai3_mg_manual}mg
&lt;br&gt;&lt;font color=black&gt;Fabricant :
&lt;br&gt;&lt;br&gt;&lt;font color=blue&gt;${manu_manual}
&lt;br&gt;
&lt;br&gt;Faites défiler et avancer si ces informations sont correctes.
&lt;br&gt;Retournez en arrière pour corriger les erreurs.</t>
  </si>
  <si>
    <t>confirmation_ml</t>
  </si>
  <si>
    <t>&lt;b&gt;Confirm the product details entered&lt;/b&gt;
&lt;br&gt;&lt;br&gt;Brand:
&lt;br&gt;&lt;h4&gt;&lt;font color=red&gt;${brand_manual}&lt;/h4&gt; 
&lt;br&gt;&lt;font color=black&gt;Dosage form: 
&lt;br&gt;&lt;h4&gt;&lt;font color=blue&gt;${a3_lbl_manual}&lt;/h4&gt;
&lt;br&gt;&lt;font color=black&gt;Active ingredient(s) and strength(s) in mg (and mL for liquids):
&lt;br&gt;&lt;font color=blue&gt;${ai1_manual_lbl} - ${ai1_mg_manual}mg/  ${ai1_ml_manual}ml
&lt;br&gt;&lt;font color=blue&gt;${ai2_manual_lbl} - ${ai2_mg_manual}mg/  ${ai2_ml_manual}ml
&lt;br&gt;&lt;font color=blue&gt;${ai3_manual_lbl} - ${ai3_mg_manual}mg/  ${ai3_ml_manual}ml
&lt;br&gt;&lt;br&gt;&lt;font color=black&gt;Manufacturer: 
&lt;br&gt;&lt;font color=blue&gt;${manu_manual}
&lt;br&gt;
&lt;br&gt;Swipe forward if this information is correct. 
&lt;br&gt;Go back to fix any errors.</t>
  </si>
  <si>
    <t>b&gt;Confirmez les détails du produit saisis&lt;/b&gt;
&lt;br&gt;&lt;br&gt;Marque :
&lt;br&gt;&lt;h4&gt;&lt;font color=red&gt;${brand_manual}&lt;/h4&gt;
&lt;br&gt;&lt;font color=black&gt;Présentation :
&lt;br&gt;&lt;h4&gt;&lt;font color=blue&gt;${a3_lbl_manual}&lt;/h4&gt;
&lt;br&gt;&lt;font color=black&gt;Principe(s) actif(s) et dosage(s) en mg (et mL pour les liquides) :
&lt;br&gt;&lt;font color=blue&gt;${ai1_manual_lbl} - ${ai1_mg_manual}mg/ ${ai1_ml_manual}ml
&lt;br&gt;&lt;font color=blue&gt;${ai2_manual_lbl} - ${ai2_mg_manual}mg/ ${ai2_ml_manual}ml
&lt;br&gt;&lt;font color=blue&gt;${ai3_manual_lbl} - ${ai3_mg_manual}mg/ ${ai3_ml_manual}ml
&lt;br&gt;&lt;br&gt;&lt;font color=black&gt;Fabricant :
&lt;br&gt;&lt;font color=blue&gt;${manu_manual}
&lt;br&gt;
&lt;br&gt;Faites défiler et avancer si ces informations sont correctes.
&lt;br&gt;Retournez en arrière pour corriger les erreurs.</t>
  </si>
  <si>
    <t>SUMMARY VARIABLES</t>
  </si>
  <si>
    <t>brand</t>
  </si>
  <si>
    <t>brand name</t>
  </si>
  <si>
    <t>if(${fillmethod}=1,${brand_search},${brand_manual})</t>
  </si>
  <si>
    <t>nom de marque</t>
  </si>
  <si>
    <t>a3</t>
  </si>
  <si>
    <t>dosage form values</t>
  </si>
  <si>
    <t>if(${fillmethod}=1,${a3_search},${a3_manual})</t>
  </si>
  <si>
    <t>valeurs sur la présentation</t>
  </si>
  <si>
    <t>a3_lbl</t>
  </si>
  <si>
    <t>dosage form labels</t>
  </si>
  <si>
    <t>if(${fillmethod}=1,${a3_lbl_search},${a3_lbl_manual})</t>
  </si>
  <si>
    <t>étiquettes sur la présentation</t>
  </si>
  <si>
    <t>a3_category</t>
  </si>
  <si>
    <t>tsg (1) or nt (0)</t>
  </si>
  <si>
    <t>if((${a3}=1 or ${a3}=2 or ${a3}=3 or ${a3}=96), 1,0)</t>
  </si>
  <si>
    <t>tsg (1) ou nt (0)</t>
  </si>
  <si>
    <t>manu</t>
  </si>
  <si>
    <t>manufactur</t>
  </si>
  <si>
    <t>if(${fillmethod}=1,${manu_search},${manu_manual})</t>
  </si>
  <si>
    <t>fabriquer</t>
  </si>
  <si>
    <t>ai1_ing</t>
  </si>
  <si>
    <t>active ingredient 1</t>
  </si>
  <si>
    <t>if(${fillmethod}=1,${ai1_search},${ai1_manual})</t>
  </si>
  <si>
    <t>principe actif 1</t>
  </si>
  <si>
    <t>ai2_ing</t>
  </si>
  <si>
    <t>active ingredient 2</t>
  </si>
  <si>
    <t>if(${fillmethod}=1,${ai2_search},${ai2_manual})</t>
  </si>
  <si>
    <t>principe actif 2</t>
  </si>
  <si>
    <t>ai3_ing</t>
  </si>
  <si>
    <t>active ingredient 3</t>
  </si>
  <si>
    <t>if(${fillmethod}=1,${ai3_search},${ai3_manual})</t>
  </si>
  <si>
    <t>principe actif 3</t>
  </si>
  <si>
    <t>ai1_strength</t>
  </si>
  <si>
    <t>active ingredient strength 1</t>
  </si>
  <si>
    <t>if(${fillmethod}=1,${ai1_strength_search},${ai1_strength_manual})</t>
  </si>
  <si>
    <t>principe actif dosage 1</t>
  </si>
  <si>
    <t>ai2_strength</t>
  </si>
  <si>
    <t>active ingredient strength 2</t>
  </si>
  <si>
    <t>if(${fillmethod}=1,${ai2_strength_search},${ai2_strength_manual})</t>
  </si>
  <si>
    <t>principe actif dosage 2</t>
  </si>
  <si>
    <t>ai3_strength</t>
  </si>
  <si>
    <t>active ingredient strength 3</t>
  </si>
  <si>
    <t>if(${fillmethod}=1,${ai3_strength_search},${ai3_strength_manual})</t>
  </si>
  <si>
    <t>principe actif dosage 3</t>
  </si>
  <si>
    <t>ADDITIONAL INFO FOR ALL PRODUCTS</t>
  </si>
  <si>
    <t>am_all</t>
  </si>
  <si>
    <t xml:space="preserve">Additional information input for all products: </t>
  </si>
  <si>
    <t xml:space="preserve">Saisie d'informations supplémentaires pour tous les produits : </t>
  </si>
  <si>
    <t>select_one countries</t>
  </si>
  <si>
    <t>amCountry</t>
  </si>
  <si>
    <t>&lt;b&gt;Country of manufacture&lt;/b&gt; for &lt;font color=blue&gt;${brand}</t>
  </si>
  <si>
    <t>&lt;b&gt;Pays de fabrication&lt;/b&gt; pour &lt;font color=blue&gt;${brand}</t>
  </si>
  <si>
    <t>amCountry_other</t>
  </si>
  <si>
    <t>Specify other country:</t>
  </si>
  <si>
    <t>selected(${amCountry}, '996')</t>
  </si>
  <si>
    <t>Précisez autre pays :</t>
  </si>
  <si>
    <t>select_one y_n_dnk_na</t>
  </si>
  <si>
    <t>fdc</t>
  </si>
  <si>
    <t>&lt;b&gt;[Observe]: &lt;/b&gt; Is this a &lt;b&gt;fixed dose combination&lt;/b&gt;?</t>
  </si>
  <si>
    <t>${a3}=1</t>
  </si>
  <si>
    <t>&lt;b&gt;[Observer] : &lt;/b&gt; S'agit-il d'une &lt;b&gt;combinaison à dose fixe&lt;/b&gt; ?</t>
  </si>
  <si>
    <t>hassalt</t>
  </si>
  <si>
    <t>Do any of the active ingredients have a salt?</t>
  </si>
  <si>
    <t>L'un des principes actifs contient-il du sel ?</t>
  </si>
  <si>
    <t>select_one salt</t>
  </si>
  <si>
    <t>salt</t>
  </si>
  <si>
    <t>Specify the salt</t>
  </si>
  <si>
    <t>${hassalt}=1</t>
  </si>
  <si>
    <t>Spécifier le sel</t>
  </si>
  <si>
    <t>salt_other</t>
  </si>
  <si>
    <t>Specify the other salt:</t>
  </si>
  <si>
    <t>${salt}=96</t>
  </si>
  <si>
    <t>Spécifier s'il y a autre sel :</t>
  </si>
  <si>
    <t>salton</t>
  </si>
  <si>
    <t>Which active ingredient has the salt?</t>
  </si>
  <si>
    <t>Quel est le principe actif qui contient le sel ?</t>
  </si>
  <si>
    <t>salton_other</t>
  </si>
  <si>
    <t>Specify the active ingredient that has the salt:</t>
  </si>
  <si>
    <t>${salton}=96</t>
  </si>
  <si>
    <t>select_one packaging</t>
  </si>
  <si>
    <t>packageType</t>
  </si>
  <si>
    <t>&lt;b&gt;[Observe]: &lt;/b&gt;&lt;b&gt;Pack type&lt;/b&gt; for &lt;font color=blue&gt;${brand}:</t>
  </si>
  <si>
    <t>&lt;b&gt;[Observer] : &lt;/b&gt;&lt;b&gt;Type d'emballage&lt;/b&gt; pour &lt;font color=blue&gt;${brand} :</t>
  </si>
  <si>
    <t>packageType_other</t>
  </si>
  <si>
    <t>Specify other packaging type:</t>
  </si>
  <si>
    <t>selected(${packageType}, '96')</t>
  </si>
  <si>
    <t>Spécifier pour autre type d'emballage :</t>
  </si>
  <si>
    <t>packageType_label</t>
  </si>
  <si>
    <t>jr:choice-name(selected-at(${packageType},0), '${packageType}')</t>
  </si>
  <si>
    <t>packageSize_blisterpacks</t>
  </si>
  <si>
    <t>&lt;b&gt;[Observe]: &lt;/b&gt;Number of &lt;font color=blue&gt;${a3_lbl}&lt;/font&gt; in each &lt;font color=blue&gt;${packageType_label}&lt;/font&gt;</t>
  </si>
  <si>
    <t xml:space="preserve">selected(${packageType},'1') or selected(${packageType},'2') </t>
  </si>
  <si>
    <t>&lt;b&gt;[Observer] : &lt;/b&gt;Nombre de &lt;font color=blue&gt;${a3_lbl}&lt;/font&gt; dans chaque &lt;font color=blue&gt;${packageType_label}&lt;/font&gt;.</t>
  </si>
  <si>
    <t>packageSize_loose</t>
  </si>
  <si>
    <t>5</t>
  </si>
  <si>
    <t>&lt;b&gt;[Observe]: &lt;/b&gt;Number of loose  &lt;font color=blue&gt;${a3_lbl}&lt;/font&gt; in a pot, tin, or other container</t>
  </si>
  <si>
    <t xml:space="preserve">selected(${packageType},'3') </t>
  </si>
  <si>
    <t>&lt;b&gt;[Observer] : &lt;/b&gt;Nombre de &lt;font color=blue&gt;${a3_lbl}&lt;/font&gt; en vrac dans un pot, boîte ou un autre contenant.</t>
  </si>
  <si>
    <t>packageSize_bottle</t>
  </si>
  <si>
    <t>&lt;b&gt;[Observe]: &lt;/b&gt;Volume of the bottle:</t>
  </si>
  <si>
    <t>${packageType}=4</t>
  </si>
  <si>
    <t>&lt;b&gt;[Observer] : &lt;/b&gt;Volume de la bouteille :</t>
  </si>
  <si>
    <t>packageSize_vial</t>
  </si>
  <si>
    <t xml:space="preserve">&lt;b&gt;[Observe]: &lt;/b&gt;Volume of the ampoule/ vial: </t>
  </si>
  <si>
    <t>${packageType}=5</t>
  </si>
  <si>
    <t xml:space="preserve">&lt;b&gt;[Observer] : &lt;/b&gt;Volume de l'ampoule/du flacon : </t>
  </si>
  <si>
    <t>packageSize_sachets</t>
  </si>
  <si>
    <t>&lt;b&gt;[Observe]: &lt;/b&gt;Number of sachets</t>
  </si>
  <si>
    <t xml:space="preserve">selected(${packageType},'6') </t>
  </si>
  <si>
    <t>&lt;b&gt;[Observer] : &lt;/b&gt;Nombre de sachets</t>
  </si>
  <si>
    <t>packageSize_other</t>
  </si>
  <si>
    <t>&lt;b&gt;[Observe]: &lt;/b&gt;Amount/number in each &lt;font color=blue&gt;${packageType_other}</t>
  </si>
  <si>
    <t>selected(${packageType},'96')</t>
  </si>
  <si>
    <t>&lt;b&gt;[Observer] : &lt;/b&gt;Montant/nombre pour chaque &lt;font color=blue&gt;${packageType_autre}</t>
  </si>
  <si>
    <t>packageSize_blisterpacks_WARN</t>
  </si>
  <si>
    <t>&lt;font color=red&gt;&lt;b&gt;Interviewer: &lt;/b&gt;
&lt;i&gt;Confirm &lt;font color=blue&gt;${packageSize_blisterpacks}&lt;/font&gt; is the correct number&lt;/i&gt;</t>
  </si>
  <si>
    <t>${packageSize_blisterpacks}&gt;24</t>
  </si>
  <si>
    <t>&lt;font color=red&gt;&lt;b&gt;Enquêteur: &lt;/b&gt;
&lt;i&gt;Confirmez que &lt;font color=blue&gt;${packageSize_blisterpacks}&lt;/font&gt; est le bon numéro&lt;/i&gt;</t>
  </si>
  <si>
    <t>packageSize_loose_WARN</t>
  </si>
  <si>
    <t>&lt;font color=red&gt;&lt;b&gt;Interviewer: &lt;/b&gt;
&lt;i&gt;Confirm &lt;font color=blue&gt;${packageSize_loose}&lt;/font&gt; is the correct number&lt;/i&gt;</t>
  </si>
  <si>
    <t>${packageSize_loose}&gt;500 or ${packageSize_loose}&lt;50</t>
  </si>
  <si>
    <t>&lt;font color=red&gt;&lt;b&gt;Enquêteur: &lt;/b&gt;
&lt;i&gt;Confirmez que &lt;font color=blue&gt;${packageSize_loose}&lt;/font&gt; est le bon numéro&lt;/i&gt;</t>
  </si>
  <si>
    <t>packageSize_bottle_WARN</t>
  </si>
  <si>
    <t>&lt;font color=red&gt;&lt;b&gt;Interviewer: &lt;/b&gt;
&lt;i&gt;Confirm &lt;font color=blue&gt;${packageSize_bottle}&lt;/font&gt; is the correct amount&lt;/i&gt;</t>
  </si>
  <si>
    <t>${packageSize_bottle}&gt;120 or ${packageSize_bottle}&lt;5</t>
  </si>
  <si>
    <t>&lt;font color=red&gt;&lt;b&gt;Enquêteur: &lt;/b&gt;
&lt;i&gt;Confirmez que &lt;font color=blue&gt;${packageSize_bottle}&lt;/font&gt; est la bonne quantité&lt;/i&gt;</t>
  </si>
  <si>
    <t>packageSize_vial_WARN</t>
  </si>
  <si>
    <t>&lt;font color=red&gt;&lt;b&gt;Interviewer: &lt;/b&gt;
&lt;i&gt;Confirm &lt;font color=blue&gt;${packageSize_vial}&lt;/font&gt; is the correct amount&lt;/i&gt;</t>
  </si>
  <si>
    <t>${packageSize_vial}&gt;5</t>
  </si>
  <si>
    <t>&lt;font color=red&gt;&lt;b&gt;Enquêteur: &lt;/b&gt;
&lt;i&gt;Confirmez que &lt;font color=blue&gt;${packageSize_vial}&lt;/font&gt; est la bonne quantité&lt;/i&gt;</t>
  </si>
  <si>
    <t>packageSize_sachet_WARN</t>
  </si>
  <si>
    <t>&lt;font color=red&gt;&lt;b&gt;Interviewer: &lt;/b&gt;
&lt;i&gt;Confirm &lt;font color=blue&gt;${packageSize_sachets}&lt;/font&gt; is the correct amount&lt;/i&gt;</t>
  </si>
  <si>
    <t>${packageSize_sachets}&gt;24</t>
  </si>
  <si>
    <t>&lt;font color=red&gt;&lt;b&gt;Enquêteur: &lt;/b&gt;
&lt;i&gt;Confirmez que &lt;font color=blue&gt;${packageSize_sachets}&lt;/font&gt; est la bonne quantité&lt;/i&gt;</t>
  </si>
  <si>
    <t>product_qa</t>
  </si>
  <si>
    <t>amOOS</t>
  </si>
  <si>
    <t>&lt;b&gt;[Ask]:&lt;/b&gt; Was &lt;font color=blue&gt;${brand} &lt;/font&gt; ever &lt;b&gt;out of stock&lt;/b&gt; in the &lt;b&gt;last 3 months&lt;/b&gt;?</t>
  </si>
  <si>
    <t>&lt;b&gt;[Demander]:&lt;/b&gt; Est-ce que &lt;font color=blue&gt;${marque} &lt;/font&gt; a déjà été &lt;b&gt;en rupture de stock&lt;/b&gt; au cours des &lt;b&gt;3 derniers mois&lt;/b&gt; ?</t>
  </si>
  <si>
    <t>unexpired_pack</t>
  </si>
  <si>
    <t xml:space="preserve">&lt;b&gt;[Observe]: &lt;/b&gt;Check the expiration date. &lt;br&gt;Has this product expired? </t>
  </si>
  <si>
    <t xml:space="preserve">&lt;b&gt;[Observer] : &lt;/b&gt;Vérifiez la date de péremption. &lt;br&gt;Ce produit est-il périmé ? </t>
  </si>
  <si>
    <t>REQUIRES INPUT/EDIT TO LABEL OR CHOICES - edit the question and responses based on what regulatory and anti-counterfit codes, stickers, etc. are included on pharma packaging in this country/ context e.g. in Nigeria, each product should have a NAFDAC number on the package from the national reg authority</t>
  </si>
  <si>
    <t>reg_code</t>
  </si>
  <si>
    <t>&lt;b&gt;[Observe]: &lt;/b&gt;Does the product have a registration rumber from the national regulatory authority?</t>
  </si>
  <si>
    <t>No</t>
  </si>
  <si>
    <t>&lt;b&gt;[Observer] : &lt;/b&gt; Le produit possède-t-il un numéro d'enregistrement NAFDAC ?</t>
  </si>
  <si>
    <t>Peut s'écrire comme suit : « NAFDAC Reg. No. »</t>
  </si>
  <si>
    <t>For antimalarials: 
3.1 Median sales volume of antimalarial AETDs [3]: Median number of antimalarial AETDs [3] sold in the week preceding the survey, of any outlets stocking antimalarials
&amp; 
3.2 Median sales volume of antimalarial AETDs [3] among outlets with any sales of that antimalarial type: Median number of antimalarial AETDs [3] sold in the week preceding the survey among outlets with any sales of that type of antimalarial
&amp; 
4.1 Market share of antimalarials</t>
  </si>
  <si>
    <t>am_sold</t>
  </si>
  <si>
    <t xml:space="preserve">Volumes sold </t>
  </si>
  <si>
    <t xml:space="preserve">Volumes vendus </t>
  </si>
  <si>
    <t>amSold_unit</t>
  </si>
  <si>
    <t xml:space="preserve">&lt;b&gt;[Ask]:&lt;/b&gt; How many loose tablets of of &lt;font color=blue&gt;${brand}&lt;/font&gt; has this outlet has sold/distributed in the last 7 days to individual customers? 
</t>
  </si>
  <si>
    <t>(.&gt;=0 ) or .=-9888 or .=-9777</t>
  </si>
  <si>
    <t>${packageType}=3</t>
  </si>
  <si>
    <t>&lt;b&gt;[Demander]:&lt;/b&gt; Combien de comprimés en vrac de &lt;font color=blue&gt;${brand}&lt;/font&gt; ce point de vente a-t-il vendu/distribué au cours des 7 derniers jours à des clients individuels ?</t>
  </si>
  <si>
    <t>amSold_unit_WARN</t>
  </si>
  <si>
    <t>&lt;font color=red&gt;&lt;b&gt;Interviewer: &lt;/b&gt;
&lt;i&gt;Confirm &lt;font color=blue&gt;${amSold_unit}&lt;/font&gt; is the correct number of tablets sold in the last week&lt;/i&gt;</t>
  </si>
  <si>
    <t>${amSold_unit}&gt;50</t>
  </si>
  <si>
    <t>&lt;font color=red&gt;&lt;b&gt;Enquêteur: &lt;/b&gt;
&lt;i&gt;Confirmez que &lt;font color=blue&gt;${amSold_unit}&lt;/font&gt; est le nombre correct de comprimés vendus la semaine dernière&lt;/i&gt;</t>
  </si>
  <si>
    <t>amSold_pack</t>
  </si>
  <si>
    <t xml:space="preserve">&lt;b&gt;[Ask]:&lt;/b&gt; How many  &lt;font color=blue&gt;${packageType_label} (s) of ${brand} &lt;/font&gt;has this outlet has &lt;b&gt;sold/distributed&lt;/b&gt; in the last 7 days to individual customers? 
</t>
  </si>
  <si>
    <t>${packageType}!=3</t>
  </si>
  <si>
    <t>&lt;b&gt;[Demander]:&lt;/b&gt; Combien de &lt;font color=blue&gt;${packageType_label} (s) de ${marque} &lt;/font&gt;ce point de vente a-t-il &lt;b&gt;vendu/distribué&lt;/b&gt; au cours des 7 derniers jours à des clients individuels ?</t>
  </si>
  <si>
    <t>amSold_pack_WARN</t>
  </si>
  <si>
    <t>&lt;font color=red&gt;&lt;b&gt;Interviewer: &lt;/b&gt;
&lt;i&gt;Confirm &lt;font color=blue&gt;${amSold_pack}&lt;/font&gt; is the correct number of tablets sold in the last week&lt;/i&gt;</t>
  </si>
  <si>
    <t>${amSold_pack}&gt;50</t>
  </si>
  <si>
    <t>&lt;font color=red&gt;&lt;b&gt;Enquêteur: &lt;/b&gt;
&lt;i&gt;Confirmez que &lt;font color=blue&gt;${amSold_pack}&lt;/font&gt; est le nombre correct de comprimés vendus la semaine dernière&lt;/i&gt;</t>
  </si>
  <si>
    <t>5.1 Sales price of antimalarial tablet AETDs [3] to customers: Median retail price of adult equivalent treatment dose (AETD) for tablet formulation types in (a) USD and (b) local currency
&amp; 
5.2 Sales price of pre-packaged ACTs to customer: Median retail price of selected pre-packaged therapy  (a) USD and (b) local currency</t>
  </si>
  <si>
    <t>am_Rprice</t>
  </si>
  <si>
    <t xml:space="preserve">Retail price </t>
  </si>
  <si>
    <t xml:space="preserve">Prix de détail </t>
  </si>
  <si>
    <t>packagePrice_unit</t>
  </si>
  <si>
    <t xml:space="preserve">&lt;b&gt;[Ask]:&lt;/b&gt; What was the cost or price for one loose tablet of ${brand} for the most recent individual customer? </t>
  </si>
  <si>
    <t>Naira</t>
  </si>
  <si>
    <t>(.&gt;=0 and .&lt;=1000000) or .=-9888 or .=-9777</t>
  </si>
  <si>
    <t xml:space="preserve">&lt;b&gt;[Demander]:&lt;/b&gt; Quel était le coût ou le prix d'un comprimé en vrac de ${marque} pour la vente la plus récente à un client individuel ? </t>
  </si>
  <si>
    <t>XXX</t>
  </si>
  <si>
    <t>packagePrice_unit_WARN</t>
  </si>
  <si>
    <t>&lt;font color=red&gt;&lt;b&gt;Interviewer: &lt;/b&gt;
&lt;i&gt;Confirm &lt;font color=blue&gt; &lt;font color=blue&gt;${packagePrice_unit}&lt;/font&gt;&lt;/font&gt; Naira is the correct price for the last &lt;font color=blue&gt; &lt;font color=blue&gt;${brand}&lt;/font&gt;&lt;/font&gt; tablet sold&lt;/i&gt;</t>
  </si>
  <si>
    <t>${packagePrice_unit}&gt;15000</t>
  </si>
  <si>
    <t>&lt;font color=red&gt;&lt;b&gt;Enquêteur:&lt;/b&gt;
&lt;i&gt;Confirmez que &lt;font color=blue&gt; &lt;font color=blue&gt;${packagePrice_unit}&lt;/font&gt;&lt;/font&gt; XXX est le prix correct pour le dernier comprimé &lt;font color=blue&gt; &lt;font color=blue&gt;${brand}&lt;/font&gt;&lt;/font&gt; vendu&lt;/i&gt;</t>
  </si>
  <si>
    <t>packagePrice_pack</t>
  </si>
  <si>
    <t xml:space="preserve">&lt;b&gt;[Ask]:&lt;/b&gt; What was the cost for one &lt;font color=blue&gt;${packageType_label}&lt;/font&gt; of  &lt;font color=blue&gt;${brand}&lt;/font&gt; for the most recent sale to an individual customer? </t>
  </si>
  <si>
    <t xml:space="preserve">&lt;b&gt;[Demander]:&lt;/b&gt; Quel était le coût d'un &lt;font color=blue&gt;${packageType_label}&lt;/font&gt; de &lt;font color=blue&gt;${marque}&lt;/font&gt; pour la vente la plus récente à un client individuel ? </t>
  </si>
  <si>
    <t>packagePrice_other_WARN</t>
  </si>
  <si>
    <t>&lt;font color=red&gt;&lt;b&gt;Interviewer: &lt;/b&gt;
&lt;i&gt;Confirm &lt;font color=blue&gt;${packagePrice_pack}&lt;/font&gt; Naira is the correct price for the last &lt;font color=blue&gt;${brand}&lt;/font&gt; &lt;font color=blue&gt;${packageType_label}&lt;/font&gt; sold&lt;/i&gt;</t>
  </si>
  <si>
    <t>&lt;font color=red&gt;&lt;b&gt;Enquêteur:&lt;/b&gt;
&lt;i&gt;Confirmez que &lt;font color=blue&gt;${packagePrice_pack}&lt;/font&gt; XXX est le prix correct pour le dernier &lt;font color=blue&gt;${brand}&lt;/font&gt; &lt;font color=blue&gt;${packageType_label}&lt;/font&gt; vendu&lt;/i&gt;</t>
  </si>
  <si>
    <t>6.1 Purchase price of antimalarial AETDs [3] from suppliers: Median purchase price of adult equivalent treatment dose (AETD) for tablet formulation types from the outlets supplier (e.g. wholesaler) (a) USD and (b) local currency</t>
  </si>
  <si>
    <t>supplierpurchaseprice</t>
  </si>
  <si>
    <t>Purchase price from their supplier</t>
  </si>
  <si>
    <t>Prix d'achat auprès de leur fournisseur</t>
  </si>
  <si>
    <t>supplierpurchaseprice01</t>
  </si>
  <si>
    <t>wholesale_NOTE</t>
  </si>
  <si>
    <t>During your most recent &lt;b&gt;wholesale purchase&lt;/b&gt; of &lt;font color=blue&gt;${brand}&lt;/font&gt;: &lt;br&gt;</t>
  </si>
  <si>
    <t>Lors de votre dernier &lt;b&gt;achat en gros&lt;/b&gt; de &lt;font color=blue&gt;${brand}&lt;/font&gt; : &lt;br&gt;</t>
  </si>
  <si>
    <t>supplier_amt_unit</t>
  </si>
  <si>
    <t>&lt;b&gt;[Ask]:&lt;/b&gt; &lt;br&gt;How many loose tablets did you purchase?</t>
  </si>
  <si>
    <t>custom-extrabuttons(button1="Don't know", value1=-9888, button2="Refused", value2=-9777, autoadvance=0))</t>
  </si>
  <si>
    <t>&lt;b&gt;[Demande]:&lt;/b&gt; &lt;br&gt;Combien de comprimés en vrac avez-vous acheté ?</t>
  </si>
  <si>
    <t>supplier_amt_pack</t>
  </si>
  <si>
    <t>&lt;b&gt;[Ask]:&lt;/b&gt; &lt;br&gt;How many  &lt;font color=blue&gt;${packageType_label}&lt;/font&gt; (s) of ${brand} did you purchase?</t>
  </si>
  <si>
    <t>&lt;b&gt;[Demande]:&lt;/b&gt; &lt;br&gt;Combien de &lt;font color=blue&gt;${packageType_label}&lt;/font&gt; (s) de ${marque} avez-vous acheté ?</t>
  </si>
  <si>
    <t>supplier_price</t>
  </si>
  <si>
    <t>&lt;br&gt;
&lt;br&gt;What was the total purchase price?</t>
  </si>
  <si>
    <t>&lt;br&gt;&lt;Quel a été le prix d'achat total ?</t>
  </si>
  <si>
    <t>supplier_amt</t>
  </si>
  <si>
    <t>if(${packageType}=3,${supplier_amt_unit},${supplier_amt_pack})</t>
  </si>
  <si>
    <t>amt_WARN</t>
  </si>
  <si>
    <t>&lt;font color=red&gt;&lt;b&gt;Interviewer: &lt;/b&gt;
&lt;i&gt;Confirm &lt;font color=blue&gt;${supplier_amt}&lt;/font&gt; is the correct number of &lt;font color=blue&gt;${packageType_label}&lt;/font&gt; (s) of &lt;font color=blue&gt;${brand}&lt;/font&gt; purchased&lt;/i&gt;</t>
  </si>
  <si>
    <t>${supplier_amt}&gt;100</t>
  </si>
  <si>
    <t>&lt;font color=red&gt;&lt;b&gt;Enquêteu:&lt;/b&gt;
&lt;i&gt;Confirmez que &lt;font color=blue&gt;${supplier_amt}&lt;/font&gt; est le nombre correct de &lt;font color=blue&gt;${packageType_label}&lt;/font&gt; de &lt;font color=blue&gt;${brand}&lt;/font&gt; achetés&lt;/i&gt;</t>
  </si>
  <si>
    <t>price_WARN</t>
  </si>
  <si>
    <t>&lt;font color=red&gt;&lt;b&gt;Interviewer: &lt;/b&gt;
&lt;i&gt;Confirm &lt;font color=blue&gt;${supplier_price}&lt;/font&gt; Naira is the correct price for &lt;font color=blue&gt;${supplier_amt}&lt;/font&gt; of &lt;font color=blue&gt;${brand}&lt;/font&gt; purchased from the wholesaler store&lt;/i&gt;</t>
  </si>
  <si>
    <t>${supplier_price}&gt;100000</t>
  </si>
  <si>
    <t>&lt;font color=red&gt;&lt;b&gt;Enquêteur:&lt;/b&gt;
&lt;i&gt;Confirmez que &lt;font color=blue&gt;${supplier_price}&lt;/font&gt; XXX est le prix correct pour &lt;font color=blue&gt;${supplier_amt}&lt;/font&gt; de &lt;font color=blue&gt;${brand}&lt;/font&gt; acheté dans le magasin de gros&lt;/i&gt;</t>
  </si>
  <si>
    <t>pic_ok</t>
  </si>
  <si>
    <t xml:space="preserve">&lt;b&gt;[ASK PROVIDER!!!]&lt;/b&gt;Can you take a photo of this product? </t>
  </si>
  <si>
    <t>Note, photos will be used to correct any data entry errors and may be added to a database of antimalarials.</t>
  </si>
  <si>
    <t xml:space="preserve">&lt;b&gt;[DEMANDER AU PRESTATAIRE !!!]&lt;/b&gt;Pouvez-vous prendre une photo de ce produit ? </t>
  </si>
  <si>
    <t>Attention, les photos seront utilisées pour corriger d'éventuelles erreurs de saisie de données et pourront être ajoutées à une base de données d'antipaludéens.</t>
  </si>
  <si>
    <t>image</t>
  </si>
  <si>
    <t>pic_front</t>
  </si>
  <si>
    <t xml:space="preserve">TAKE A PHOTO OF THE &lt;b&gt;FRONT OF THE PRODUCT/b&gt; OR THE SIDE/SPACE THAT INCLUDES THE BRAND NAME: 
&lt;br&gt;&lt;br&gt;
Tap photo to focus. Retake if the image is not clear. </t>
  </si>
  <si>
    <t>${pic_ok}=1</t>
  </si>
  <si>
    <t>PRENEZ UNE PHOTO DE LA FACE AVANT DU PRODUIT OU DU CÔTÉ QUI MONTRE LA MARQUE :
&lt;br&gt;&lt;br&gt;
Touchez sur la photo pour ajuster la mise au point. Reprenez une nouvelle photo si l'image est floue ou n'est pas claire.</t>
  </si>
  <si>
    <t>pic_ais</t>
  </si>
  <si>
    <t xml:space="preserve">TAKE A PHOTO OF THE &lt;b&gt;SIDE OF THE PRODUCT THAT INCLUDES ACTIVE INGREDIENT INFORMATION&lt;/b&gt; : 
&lt;br&gt;&lt;br&gt;
Tap photo to focus. Retake if the image is not clear. </t>
  </si>
  <si>
    <t>PRENEZ UNE PHOTO DU CÔTÉ DU PRODUIT QUI MONTRE LES INFORMATIONS SUR LES PRINCIPES ACTIFS :
&lt;br&gt;&lt;br&gt;
Touchez sur la photo pour ajuster la mise au point. Reprenez une nouvelle photo si l'image est floue ou n'est pas claire.</t>
  </si>
  <si>
    <t>end repeat</t>
  </si>
  <si>
    <t>am_tracker</t>
  </si>
  <si>
    <t>Audit tracking</t>
  </si>
  <si>
    <t>Suivi des audits</t>
  </si>
  <si>
    <t>select_one audit_incomplete</t>
  </si>
  <si>
    <t>amAudit_complete</t>
  </si>
  <si>
    <t>[Don’t ask provider] &lt;br&gt;Have you been able to record details for all the antimalarials that you know are available in the outlet today?&lt;br&gt;
&lt;br&gt;&lt;font color=red&gt;ATTN: If **YOU** did not complete **ANY** audits using **THIS** form but your partner audited all antimalarials using their form, select **NO** here and select this reason on the next page.&lt;/font&gt;&lt;br&gt;</t>
  </si>
  <si>
    <t>[Ne pas demander au prestataire] &lt;br&gt;Avez-vous pu enregistrer les détails de tous les antipaludiques dont vous savez qu'ils sont disponibles dans le point de vente aujourd'hui ?&lt;br&gt;
&lt;br&gt;&lt;font color=red&gt;ATTENTION : Si **VOUS** n'avez effectué **AUCUN** audit à l'aide de **CE** formulaire mais que votre partenaire a audité tous les antipaludiques à l'aide de son formulaire, sélectionnez **NON** ici et sélectionnez cette raison sur la page suivante.&lt;/font&gt;&lt;br&gt;</t>
  </si>
  <si>
    <t>amAudit_incomplete</t>
  </si>
  <si>
    <t>Reason for incomplete audit:</t>
  </si>
  <si>
    <t xml:space="preserve">Explain here why the audit was not done or incomplete. There are many reasons why the audit may not have been feasible. Data collectors will not be peanalized for incomplete audits; however understanding why it was not possible to complete them is crutial to the study results. </t>
  </si>
  <si>
    <t>selected(${amAudit_complete}, '1') or selected(${amAudit_complete}, '2')</t>
  </si>
  <si>
    <t>Motif de l'audit incomplet :</t>
  </si>
  <si>
    <t>Expliquez ici pourquoi l'audit n'a pas été réalisé ou était incomplet. Il existe de nombreuses raisons pour lesquelles l'audit n'aurait pas été réalisable. Les enquêteurs ne seront pas pénalisés pour des audits incomplets ; cependant, comprendre pourquoi il n'a pas été possible de les réaliser est essentiel aux résultats de l'étude.</t>
  </si>
  <si>
    <t xml:space="preserve">This section is REQUIRED for assessing stock outs of antimalarials </t>
  </si>
  <si>
    <t>am_stockouts</t>
  </si>
  <si>
    <t>Stock-outs of antimalarials</t>
  </si>
  <si>
    <t>(${am_stockcurrent}=1 or ${am_stockpast}=1) and ${checkpoint4}=1</t>
  </si>
  <si>
    <t>Ruptures de stock d'antipaludiques</t>
  </si>
  <si>
    <t>7.1 Stock outs of antimalarials: Proportion of outlets reporting stockouts of antimalarials by type [2] on the day of survey, among all antimalarial-stocking outlets</t>
  </si>
  <si>
    <t>a16</t>
  </si>
  <si>
    <t xml:space="preserve">&lt;br&gt; Are there any antimalarials that are out of stock today, but that you have had in stock for the last 3 months? </t>
  </si>
  <si>
    <t xml:space="preserve">&lt;br&gt;Y a-t-il des antipaludiques qui sont en rupture de stock aujourd'hui, mais que vous aviez en stock dans les 3 derniers mois ? </t>
  </si>
  <si>
    <t>select_multiple am_oos</t>
  </si>
  <si>
    <t>a17</t>
  </si>
  <si>
    <t xml:space="preserve">&lt;br&gt;Which of the following types of antimalarials have been OUT OF STOCK in the &lt;b&gt;last 3 months&lt;/b&gt;? </t>
  </si>
  <si>
    <t>Read the list.
Select all that apply.</t>
  </si>
  <si>
    <t>not(selected(., "98") and count-selected(.) &gt; 1)</t>
  </si>
  <si>
    <t xml:space="preserve">selected(${a16},'1') </t>
  </si>
  <si>
    <t xml:space="preserve">&lt;br&gt;Parmi les types d'antipaludiques suivants, lesquels ont été en rupture de stock au cours des &lt;b&gt; 3 derniers mois&lt;/b&gt; ? </t>
  </si>
  <si>
    <t>Lisez la liste.
Sélectionnez tout ce qui s'applique.</t>
  </si>
  <si>
    <t>a17_other</t>
  </si>
  <si>
    <t xml:space="preserve">Specify other antimalarial(s) you had out of stock in the last 3 months: </t>
  </si>
  <si>
    <t xml:space="preserve">selected(${a17},'96') </t>
  </si>
  <si>
    <t xml:space="preserve">Précisez le(s) autre(s) antipaludique(s) en rupture de stock au cours des 3 derniers mois : </t>
  </si>
  <si>
    <t>checkpoint_am</t>
  </si>
  <si>
    <t>End of antimalarial audit</t>
  </si>
  <si>
    <t>&lt;font color="green"&gt;CHECKPOINT ANTIMALARIAL AUDIT&lt;br&gt;&lt;br&gt;&lt;b&gt;INTERVIEWER&lt;/b&gt;&lt;br&gt;Are you able to continue the interview, that is, this interview &lt;b&gt;has not&lt;/b&gt; been interrupted?&lt;/font&gt;</t>
  </si>
  <si>
    <t>&lt;font color="green"&gt;POINT DE CONTRÔLE 5&lt;br&gt;&lt;br&gt;&lt;b&gt;ENQUÊTEUR&lt;/b&gt;&lt;br&gt;Êtes-vous en mesure de continuer encore l'interview sans interruption ?&lt;/font&gt;</t>
  </si>
  <si>
    <t>BLOOD TESTING AUDIT MODULE
.</t>
  </si>
  <si>
    <t>RDT_AUDIT</t>
  </si>
  <si>
    <t>Diagnostic audit</t>
  </si>
  <si>
    <t xml:space="preserve">${testing_stock}=1 and ${do_audit}=1 </t>
  </si>
  <si>
    <t>Audit des tests de diagnostic</t>
  </si>
  <si>
    <t>rdt_instructions</t>
  </si>
  <si>
    <t>&lt;h4&gt;DIagnostics Audit&lt;/h4&gt;&lt;br&gt;&lt;br&gt;
&lt;font color="blue"&gt;&lt;b&gt;&lt;br&gt; Interviewer: &lt;br&gt;&lt;br&gt;
The following questions aim to conduct an audit of malaria testing availablity. &lt;/b&gt; 
Complete an audit of all RDTs in stock in this outlet.</t>
  </si>
  <si>
    <t>&lt;h4&gt;Audit des tests de diagnostic&lt;/h4&gt;&lt;br&gt;&lt;br&gt;
&lt;font color="blue"&gt;&lt;b&gt;&lt;br&gt; Enquêteur: &lt;br&gt;&lt;br&gt;
Les questions suivantes focalisent sur les audits des tests de dépistage du paludisme qui sont disponibilites. &lt;/b&gt;
Répondez à une série de questions sur les équipements de test et les services de microscopie, puis effectuez un audit de tous les TDR en stock dans ce point de vente.</t>
  </si>
  <si>
    <t>d7</t>
  </si>
  <si>
    <t xml:space="preserve">&lt;b&gt;Interviewer: &lt;/b&gt;
&lt;br&gt;&lt;b&gt;[OBSERVE, ASK TO SEE]: &lt;/b&gt;
&lt;br&gt;&lt;b&gt;Confirm the presence of at least one RDT at this outlet: &lt;/b&gt;
</t>
  </si>
  <si>
    <t>Show the whole list using the photo catalogue. 
E.g. 
• Bioline
• SD Bioline (Standard Diagnostic Bioline)  
• DiaSpot
• ParaCheck 
• Parasight
• CareStart
• First response</t>
  </si>
  <si>
    <t>${rdt_stock}=1</t>
  </si>
  <si>
    <t>&lt;b&gt;Enquêteur : &lt;/b&gt;
&lt;br&gt;&lt;b&gt;[OBSERVER, DEMANDER À VOIR] : &lt;/b&gt;
&lt;br&gt;&lt;b&gt;Confirmer la présence d'au moins un TDR à ce point de vente : &lt;/b&gt;</t>
  </si>
  <si>
    <t>Afficher la liste complète à l'aide du catalogue de photos.
Par exemple :
• Bioline
• SD Bioline (Standard Diagnostic Bioline)
• DiaSpot
• ParaCheck
• Parasight
• CareStart
• Première réponse</t>
  </si>
  <si>
    <t>select_one rdt_noaudit</t>
  </si>
  <si>
    <t>d8</t>
  </si>
  <si>
    <t xml:space="preserve">&lt;font color="red"&gt;During the screening section of this interview, the provider said RDTs were present. 
&lt;br&gt;&lt;br&gt;
&lt;b&gt;Please confirm the provider doesn't have any products physically available, or indicate here why there is a discrepancy in responses e.g. the provider doesn't want to show them, etc.&lt;/b&gt;
&lt;br&gt;&lt;br&gt;
Otherwise, go back and change your response to the previous question and continue with the audit.
 </t>
  </si>
  <si>
    <t>selected(${d7}, '0') and ${rdt_stock}=1</t>
  </si>
  <si>
    <t>&lt;font color="red"&gt;Dans la section criblage pour cette interview, le prestataire a déclaré que des TDR étaient disponibles.
&lt;br&gt;&lt;br&gt;
&lt;b&gt;Veuillez confirmer que le fournisseur n'a aucun TDR physiquement disponible, ou indiquer ici pourquoi il y a une divergence dans les réponses, par exemple le prestataire ne veut pas les montrer, etc.&lt;/b&gt;
&lt;br&gt;&lt;br&gt;
Sinon, revenez en arrière et modifiez votre réponse à la question précédente et continuez l'audit.</t>
  </si>
  <si>
    <t>d8_other</t>
  </si>
  <si>
    <t>${d8}=96</t>
  </si>
  <si>
    <t>Précisez autres raisons :</t>
  </si>
  <si>
    <t>rdtAudit_instructions</t>
  </si>
  <si>
    <t>&lt;font color=blue&gt;&lt;h4&gt;&lt;b&gt;Interviewer: &lt;/b&gt;&lt;/h4&gt;
&lt;br&gt;
&lt;i&gt;&lt;h4&gt;Carry out an audit of RDTs.&lt;/h4&gt; 
&lt;br&gt;
&lt;b&gt;Instructions: &lt;/b&gt;
&lt;br&gt;&lt;br&gt;(1) Collect one of every RDT available.
&lt;br&gt;&lt;br&gt;(2) Proceed with audit by swiping forward and selecting 'Add Group'. 
&lt;br&gt;&lt;br&gt;(3) Complete all questions and add new groups for each different product.</t>
  </si>
  <si>
    <t>&lt;font color=blue&gt;&lt;h4&gt;&lt;b&gt;Enquêteur: &lt;/b&gt;&lt;/h4&gt;
&lt;br&gt;
&lt;i&gt;&lt;h4&gt;Effectuez un audit des TDR.&lt;/h4&gt;
&lt;br&gt;
&lt;b&gt;Instructions : &lt;/b&gt;
&lt;br&gt;&lt;br&gt;(1) Récupérez un exemplaire de chaque TDR disponible.
&lt;br&gt;&lt;br&gt;(2) Procédez à l'audit en balayant vers l'avant et en sélectionnant « Ajouter un groupe ».
&lt;br&gt;&lt;br&gt;(3) Complétez toutes les questions et ajoutez de nouveau groupe pour chaque type de produit.</t>
  </si>
  <si>
    <t>rdtAudit</t>
  </si>
  <si>
    <t>&lt;RDT product information&gt;</t>
  </si>
  <si>
    <t>&lt;informations sur le TDR&gt;</t>
  </si>
  <si>
    <t>rdtProductcode</t>
  </si>
  <si>
    <t>if (position(..)&lt;10, concat(0, position(..)), position(..))</t>
  </si>
  <si>
    <t>rdtSuboutletcode</t>
  </si>
  <si>
    <t>concat(${outletid},"-R-",${rdtProductcode})</t>
  </si>
  <si>
    <t>fillmethod2</t>
  </si>
  <si>
    <t>Do you want to search the database of common products or manually enter information for this product?</t>
  </si>
  <si>
    <t>Souhaitez-vous effectuer une recherche dans la base de données des produits ou saisir manuellement les informations relatives à ce produit ?</t>
  </si>
  <si>
    <t>rdt_databasesearch</t>
  </si>
  <si>
    <t>&lt;Database search:&gt;</t>
  </si>
  <si>
    <t>${fillmethod2}=1</t>
  </si>
  <si>
    <t>&lt;Recherche dans la base de données:&gt;</t>
  </si>
  <si>
    <t>searchtextrdt</t>
  </si>
  <si>
    <t xml:space="preserve">Saisir le nom de marque complet ou une partie </t>
  </si>
  <si>
    <t>select_one rdtCode</t>
  </si>
  <si>
    <t>rdtCode</t>
  </si>
  <si>
    <t>${searchtextrdt}!=null</t>
  </si>
  <si>
    <t>search('awl_rdt','contains', 'rdtBrand', ${searchtextrdt})</t>
  </si>
  <si>
    <t>Sélectionnez le produit que vous souhaitez auditer</t>
  </si>
  <si>
    <t>rdtBrand_search</t>
  </si>
  <si>
    <t>pulldata('awl_rdt', 'rdtBrand', 'num_id', ${rdtCode})</t>
  </si>
  <si>
    <t>parasite_search</t>
  </si>
  <si>
    <t>pulldata('awl_rdt', 'parasite_lbl', 'num_id', ${rdtCode})</t>
  </si>
  <si>
    <t>anti_search</t>
  </si>
  <si>
    <t>pulldata('awl_rdt', 'anti_lbl', 'num_id', ${rdtCode})</t>
  </si>
  <si>
    <t>rdtManu_search</t>
  </si>
  <si>
    <t>pulldata('awl_rdt', 'rdtManu', 'num_id', ${rdtCode})</t>
  </si>
  <si>
    <t>confirmRDT_search</t>
  </si>
  <si>
    <t>&lt;b&gt;Product details&lt;/b&gt;
&lt;br&gt;&lt;br&gt;Brand:
&lt;br&gt;&lt;h4&gt;&lt;font color=blue&gt;${rdtBrand_search}&lt;/h4&gt; 
&lt;br&gt;&lt;font color=black&gt;Parasite(s):
&lt;br&gt;&lt;font color=blue&gt;${parasite_search}
&lt;br&gt;&lt;font color=black&gt;Antigen(s):
&lt;br&gt;&lt;font color=blue&gt;${anti_search}
&lt;br&gt;&lt;font color=black&gt;Manufactured by: 
&lt;br&gt;&lt;font color=blue&gt;${rdtManu_search}
&lt;br&gt;
&lt;br&gt;&lt;font color=black&gt;&lt;b&gt;Confirm these details are correct:&lt;/b&gt;</t>
  </si>
  <si>
    <t>&lt;b&gt;Détails du produit&lt;/b&gt;
&lt;br&gt;&lt;br&gt;Marque :
&lt;br&gt;&lt;h4&gt;&lt;font color=blue&gt;${rdtBrand_search}&lt;/h4&gt;
&lt;br&gt;&lt;font color=black&gt;Parasite(s) :
&lt;br&gt;&lt;font color=blue&gt;${parasite_search}
&lt;br&gt;&lt;font color=black&gt;Antigène(s) :
&lt;br&gt;&lt;font color=blue&gt;${anti_search}
&lt;br&gt;&lt;font color=black&gt;Fabriqué par :
&lt;br&gt;&lt;font color=blue&gt;${rdtManu_search}
&lt;br&gt;
&lt;br&gt;&lt;font color=black&gt;&lt;b&gt;Confirmez que ces informations sont correctes :&lt;/b&gt;</t>
  </si>
  <si>
    <t>nopreloadnote_rdt</t>
  </si>
  <si>
    <t>No pre-loaded data was found for this brand name. Therefore, you can manually enter product information.</t>
  </si>
  <si>
    <t>${rdtCode}=null</t>
  </si>
  <si>
    <t>Aucune donnée préchargée n'a été trouvée pour cette marque. Vous pouvez donc saisir manuellement les informations sur le produit.</t>
  </si>
  <si>
    <t>wrongresult_rdt</t>
  </si>
  <si>
    <t>You indicated that the details for &lt;font color=red&gt;${rdtBrand_search}&lt;font color=black&gt; were &lt;b&gt;NOT&lt;/b&gt; correct. 
&lt;br&gt;
If you would like to try a new search, go back and restart the search. 
&lt;br&gt;
If you would like to manually enter information for this product, go back and select 'Manual Entry'</t>
  </si>
  <si>
    <t>${confirmRDT_search}=0</t>
  </si>
  <si>
    <t>Vous avez indiqué que les détails de &lt;font color=red&gt;${rdtBrand_search}&lt;font color=black&gt; n'étaient &lt;b&gt;PAS&lt;/b&gt; corrects.
&lt;br&gt;
Si vous souhaitez essayer une nouvelle recherche, revenez en arrière et relancez la recherche.
&lt;br&gt;
Si vous souhaitez saisir manuellement les informations pour ce produit, revenez en arrière et sélectionnez « Saisie manuelle »</t>
  </si>
  <si>
    <t>rdt_manualentry</t>
  </si>
  <si>
    <t>${fillmethod2}=2 or ${confirmRDT_search}=0</t>
  </si>
  <si>
    <t>r1</t>
  </si>
  <si>
    <t>select_one parasite</t>
  </si>
  <si>
    <t>r3</t>
  </si>
  <si>
    <t xml:space="preserve">Parasite specie(s): </t>
  </si>
  <si>
    <t>Select all that apply</t>
  </si>
  <si>
    <t xml:space="preserve">Type d'espèce(s) de parasite(s) : </t>
  </si>
  <si>
    <t>Sélectionnez tout ce qui s'applique</t>
  </si>
  <si>
    <t>r3_lbl</t>
  </si>
  <si>
    <t>jr:choice-name(selected-at(${r3},0), '${r3}')</t>
  </si>
  <si>
    <t>select_one antigene</t>
  </si>
  <si>
    <t>r2</t>
  </si>
  <si>
    <t>3</t>
  </si>
  <si>
    <t xml:space="preserve">Antigen test(s): </t>
  </si>
  <si>
    <t xml:space="preserve">Test(s) d'antigène : </t>
  </si>
  <si>
    <t>r2_lbl</t>
  </si>
  <si>
    <t>jr:choice-name(selected-at(${r2},0), '${r2}')</t>
  </si>
  <si>
    <t>r4</t>
  </si>
  <si>
    <t>Manufacturer:</t>
  </si>
  <si>
    <t>Fabricant :</t>
  </si>
  <si>
    <t>confirmRDT_manual</t>
  </si>
  <si>
    <t>Confirm the product is: 
&lt;br&gt;&lt;h4&gt;&lt;font color=blue&gt;${r1}&lt;/h4&gt; 
&lt;br&gt;&lt;font color=black&gt;Parasite(s):
&lt;br&gt;&lt;font color=blue&gt;${r3_lbl} 
&lt;br&gt;&lt;font color=black&gt;Antigen(s):
&lt;br&gt;&lt;font color=blue&gt;${r2_lbl}
&lt;br&gt;&lt;font color=black&gt;manufactured by: 
&lt;br&gt;&lt;font color=blue&gt;${r4}
&lt;br&gt;
&lt;br&gt;Swipe forward if this information is correct. 
&lt;br&gt;Go back to fix any errors.</t>
  </si>
  <si>
    <t>Confirmez que le produit est :
&lt;br&gt;&lt;h4&gt;&lt;font color=blue&gt;${r1}&lt;/h4&gt;
&lt;br&gt;&lt;font color=black&gt;Parasite(s) :
&lt;br&gt;&lt;font color=blue&gt;${r3_lbl}
&lt;br&gt;&lt;font color=black&gt;Antigène(s) :
&lt;br&gt;&lt;font color=blue&gt;${r2_lbl}
&lt;br&gt;&lt;font color=black&gt;fabriqué par :
&lt;br&gt;&lt;font color=blue&gt;${r4}
&lt;br&gt;Balayer vers l'avant si ces informations sont correctes.
&lt;br&gt;Retournez en arrière pour corriger s'il y a des erreurs.</t>
  </si>
  <si>
    <t>rdtBrand</t>
  </si>
  <si>
    <t>if(${fillmethod2}=1,${rdtBrand_search}, ${r1})</t>
  </si>
  <si>
    <t>ADDITIONAL INFORMATION FOR ALL PRODUCTS</t>
  </si>
  <si>
    <t>rdt_all</t>
  </si>
  <si>
    <t>r5code</t>
  </si>
  <si>
    <t>&lt;b&gt;[Observe]: &lt;/b&gt;&lt;br&gt;Country of manufacture:</t>
  </si>
  <si>
    <t>&lt;b&gt;[Observer] : &lt;/b&gt;&lt;br&gt;Pays de fabrication :</t>
  </si>
  <si>
    <t>r5code_other</t>
  </si>
  <si>
    <t>selected(${r5code}, '996')</t>
  </si>
  <si>
    <t>Précisez si autre pays :</t>
  </si>
  <si>
    <t xml:space="preserve">self </t>
  </si>
  <si>
    <t>&lt;b&gt;[Observe]: &lt;/b&gt;&lt;br&gt;Is this a self-administration test kit with its buffer, pipette and lancet?</t>
  </si>
  <si>
    <t>&lt;b&gt;[Observer] : &lt;/b&gt;&lt;br&gt;S'agit-il d'un kit de test d'auto-administration avec son tampon, sa pipette et sa lancette ?</t>
  </si>
  <si>
    <t>For RDTs: 
3.3 Median sales volume of malaria blood tests: Median number (N) of malaria blood tests conducted/ sold in the week preceding the survey 
&amp;
3.4 Median sales volume of malaria blood tests among outlets with any sales of that test type: Median number (N) of malaria blood tests conducted/ sold in the week preceding the survey among outlets with any sales of that test type
&amp; 
4.2 Market share of malaria blood testing overall</t>
  </si>
  <si>
    <t xml:space="preserve">Note this indicator is repeated for RDTs here, and microscopy below
</t>
  </si>
  <si>
    <t>r13</t>
  </si>
  <si>
    <t xml:space="preserve">&lt;b&gt;[Ask]:&lt;/b&gt; &lt;br&gt;How many &lt;font color="blue"&gt;${rdtBrand}&lt;/font&gt; tests has this outlet sold/ distributed /used in the &lt;b&gt;last 7 days&lt;/b&gt; to individual consumers </t>
  </si>
  <si>
    <t xml:space="preserve">Record total # of tests
</t>
  </si>
  <si>
    <t>.&lt;=9999</t>
  </si>
  <si>
    <t xml:space="preserve">&lt;b&gt;[Demandez]:&lt;/b&gt; &lt;br&gt;Combien de &lt;font color="blue"&gt;${rdtBrand}&lt;/font&gt; tests ce point de vente a-t-il vendu/distribué/utilisé au cours des &lt;b&gt;7 derniers jours&lt;/b&gt; à des clients individuels ? </t>
  </si>
  <si>
    <t xml:space="preserve">Enregistrer le nombre total de tests
</t>
  </si>
  <si>
    <t>r13_WARN</t>
  </si>
  <si>
    <t>&lt;font color="red"&gt;
&lt;b&gt;Interviewer: &lt;/b&gt;
&lt;i&gt;Confirm &lt;font color="blue"&gt;${r13}&lt;/font&gt; is the correct number of tests sold&lt;/i&gt;
&lt;/font&gt;</t>
  </si>
  <si>
    <t>${r13}&gt;=100</t>
  </si>
  <si>
    <t>&lt;font color="red"&gt;
&lt;b&gt;Enquêteur: &lt;/b&gt;
&lt;i&gt;Confirmez que &lt;font color="blue"&gt;${r13}&lt;/font&gt; est le nombre correct de tests vendus&lt;/i&gt;
&lt;/font&gt;</t>
  </si>
  <si>
    <t>r14</t>
  </si>
  <si>
    <t>Has the &lt;font color="blue"&gt;${rdtBrand}&lt;/font&gt; test been out of stock in the &lt;b&gt;last 3 months&lt;/b&gt;?</t>
  </si>
  <si>
    <t>Le test &lt;font color="blue"&gt;${rdtBrand}&lt;/font&gt; a-t-il été en rupture de stock au cours des &lt;b&gt;3 derniers mois&lt;/b&gt; ?</t>
  </si>
  <si>
    <t>r15a</t>
  </si>
  <si>
    <t xml:space="preserve">Do you or other staff use &lt;font color="blue"&gt;${rdtBrand}&lt;/font&gt; to &lt;b&gt;test customers in this outlet&lt;/b&gt;? </t>
  </si>
  <si>
    <t xml:space="preserve">Est-ce que vous ou d'autres membres du personnel utilisez &lt;font color="blue"&gt;${rdtBrand}&lt;/font&gt; pour &lt;b&gt;tester les clients dans ce point de vente&lt;/b&gt; ? </t>
  </si>
  <si>
    <t>For RDTs: 
5.3 Sales price of malaria blood testing to customers: Median retail price of blood testing to consumers including any consultation or service fees (a) USD and (b) local currency</t>
  </si>
  <si>
    <t>Note this indicator is repeated for RDTs here, and microscopy below</t>
  </si>
  <si>
    <t>prix_rdt_inoutlet</t>
  </si>
  <si>
    <t>RDT in-outlet test cost</t>
  </si>
  <si>
    <t>${r15a}=1</t>
  </si>
  <si>
    <t>Coût d'un test TDR au niveau du point de vente</t>
  </si>
  <si>
    <t>r15b</t>
  </si>
  <si>
    <t>What is the &lt;b&gt;total cost&lt;/b&gt; to have a test conducted with the ${rdtBrand} RDT (including RDT cost and service fee) for &lt;br&gt;&lt;br&gt;
&lt;b&gt;An adult&lt;/b&gt;?</t>
  </si>
  <si>
    <t>Quel est le &lt;b&gt;coût total&lt;/b&gt; d'un test TDR de marque ${rdtBrand} (y compris le coût du TDR et les frais de service) pour &lt;br&gt;&lt;br&gt;&lt;br&gt;.
&lt;b&gt;Un adulte&lt;/b&gt; ?</t>
  </si>
  <si>
    <t>r15c</t>
  </si>
  <si>
    <t>&lt;b&gt;A child under 5 years old&lt;/b&gt;?</t>
  </si>
  <si>
    <t>&lt;b&gt;Un enfant de moins de 5 ans&lt;/b&gt; ?</t>
  </si>
  <si>
    <t>r15b_WARN</t>
  </si>
  <si>
    <t>&lt;font color="red"&gt;
&lt;b&gt;Interviewer: &lt;/b&gt;
&lt;i&gt;Confirm &lt;font color="blue"&gt;${r15b}&lt;/font&gt; is the correct cost&lt;/i&gt;
&lt;/font&gt;</t>
  </si>
  <si>
    <t>${r15b}&gt;=5000</t>
  </si>
  <si>
    <t>&lt;font color="red"&gt;
&lt;b&gt;Enquêteur: &lt;/b&gt;
&lt;i&gt;Confirmez que &lt;font color="blue"&gt;${r15b}&lt;/font&gt; est le prix correct&lt;/i&gt;
&lt;/font&gt;</t>
  </si>
  <si>
    <t>r15c_WARN</t>
  </si>
  <si>
    <t>&lt;font color="red"&gt;
&lt;b&gt;Interviewer: &lt;/b&gt;
&lt;i&gt;Confirm &lt;font color="blue"&gt;${r15c}&lt;/font&gt; is the correct cost&lt;/i&gt;
&lt;/font&gt;</t>
  </si>
  <si>
    <t>${r15c}&gt;=5000</t>
  </si>
  <si>
    <t>&lt;font color="red"&gt;
&lt;b&gt;Enquêteur: &lt;/b&gt;
&lt;i&gt;Confirmez que &lt;font color="blue"&gt;${r15c}&lt;/font&gt; est le prix correct&lt;/i&gt;
&lt;/font&gt;</t>
  </si>
  <si>
    <t>r16a</t>
  </si>
  <si>
    <t xml:space="preserve">Does this outlet provide this brand of RDT for &lt;b&gt;clients to take away for testing somewhere else&lt;/b&gt;? </t>
  </si>
  <si>
    <t xml:space="preserve">Ce point de vente fournit-il cette marque de TDR aux &lt;b&gt;clients qui préferent l'emportent pour se faire tester ailleurs&lt;/b&gt; ? </t>
  </si>
  <si>
    <t>prix_rdt_away</t>
  </si>
  <si>
    <t>RDT take-away price</t>
  </si>
  <si>
    <t>${r16a}=1</t>
  </si>
  <si>
    <t>Prix à emporter RDT</t>
  </si>
  <si>
    <t>r16b</t>
  </si>
  <si>
    <t>What is the cost of the &lt;font color="blue"&gt;${rdtBrand}&lt;/font&gt; RDT for: &lt;br&gt;
&lt;b&gt;An adult&lt;/b&gt;?</t>
  </si>
  <si>
    <t>Quel est le coût d'un TDR &lt;font color="blue"&gt;${rdtBrand}&lt;/font&gt; pour : &lt;br&gt;
&lt;b&gt;Un adulte&lt;/b&gt; ?</t>
  </si>
  <si>
    <t>r16c</t>
  </si>
  <si>
    <t>r16b_WARN</t>
  </si>
  <si>
    <t>&lt;font color="red"&gt;
&lt;b&gt;Interviewer: &lt;/b&gt;
&lt;i&gt;Confirm &lt;font color="blue"&gt;${r16b}&lt;/font&gt; is the correct cost&lt;/i&gt;
&lt;/font&gt;</t>
  </si>
  <si>
    <t>${r16b}&gt;=5000</t>
  </si>
  <si>
    <t>&lt;font color="red"&gt;
&lt;b&gt;Enquêteur: &lt;/b&gt;
&lt;i&gt;Confirmez que &lt;font color="blue"&gt;${r16b}&lt;/font&gt; est le prix correct&lt;/i&gt;
&lt;/font&gt;</t>
  </si>
  <si>
    <t>r16c_WARN</t>
  </si>
  <si>
    <t>&lt;font color="red"&gt;
&lt;b&gt;Interviewer: &lt;/b&gt;
&lt;i&gt;Confirm &lt;font color="blue"&gt;${r16c}&lt;/font&gt; is the correct cost&lt;/i&gt;
&lt;/font&gt;</t>
  </si>
  <si>
    <t>${r16c}&gt;=5000</t>
  </si>
  <si>
    <t>&lt;font color="red"&gt;
&lt;b&gt;Enquêteur: &lt;/b&gt;
&lt;i&gt;Confirmez que &lt;font color="blue"&gt;${r16c}&lt;/font&gt; est le prix correct&lt;/i&gt;
&lt;/font&gt;</t>
  </si>
  <si>
    <t>6.2 Purchase price of malaria RDTs from suppliers: Median purchase price of RDTs from the outlet's supplier (e.g. wholesaler) (a) USD and (b) local currency</t>
  </si>
  <si>
    <t>prix_acht_tdr</t>
  </si>
  <si>
    <t>Wholesale price paid</t>
  </si>
  <si>
    <t>Prix ​​de gros payé</t>
  </si>
  <si>
    <t>r17n</t>
  </si>
  <si>
    <t xml:space="preserve">For the outlet's most recent purchase of &lt;font color="blue"&gt;${rdtBrand}&lt;/font&gt; RDTs, you bought: 
&lt;b&gt;Number of RDTs&lt;/b&gt;: </t>
  </si>
  <si>
    <t>Pour le dernier achat de TDR &lt;font color="blue"&gt;${rdtBrand}&lt;/font&gt;, vous avez acheté :
&lt;b&gt;Nombre de RDT&lt;/b&gt; :</t>
  </si>
  <si>
    <t>r17p</t>
  </si>
  <si>
    <t xml:space="preserve">&lt;b&gt;For a total price of&lt;b&gt;: </t>
  </si>
  <si>
    <t>&lt;b&gt;Pour un prix total de&lt;b&gt;:</t>
  </si>
  <si>
    <t>r17n_WARN</t>
  </si>
  <si>
    <t>&lt;font color="red"&gt;
&lt;b&gt;Interviewer: &lt;/b&gt;
&lt;i&gt;Confirm &lt;font color="blue"&gt;${r17n}&lt;/font&gt; is the correct number ${rdtBrand} RDTs purchased&lt;/i&gt;
&lt;/font&gt;</t>
  </si>
  <si>
    <t>${r17n}&gt;=500</t>
  </si>
  <si>
    <t>&lt;font color="red"&gt;
&lt;b&gt;Enquêteur:&lt;/b&gt;
&lt;i&gt;Confirmez que &lt;font color="blue"&gt;${r17n}&lt;/font&gt; est le nombre correct de TDR ${rdtBrand} achetés&lt;/i&gt;
&lt;/font&gt;</t>
  </si>
  <si>
    <t>r17p_WARN</t>
  </si>
  <si>
    <t>&lt;font color="red"&gt;
&lt;b&gt;Interviewer: &lt;/b&gt;
&lt;i&gt;Confirm &lt;font color="blue"&gt;${r17p}&lt;/font&gt; is the correct cost&lt;/i&gt;
&lt;/font&gt;</t>
  </si>
  <si>
    <t>${r17p}&gt;=100000</t>
  </si>
  <si>
    <t>&lt;font color="red"&gt;
&lt;b&gt;Enquêteur: &lt;/b&gt;
&lt;i&gt;Confirmez que &lt;font color="blue"&gt;${r17p}&lt;/font&gt; est le coût correct&lt;/i&gt;
&lt;/font&gt;</t>
  </si>
  <si>
    <t>rdt_tracker</t>
  </si>
  <si>
    <t>&lt;Audit tracking&gt;</t>
  </si>
  <si>
    <t>&lt;Suivi d'audit&gt;</t>
  </si>
  <si>
    <t>rdtAudit_complete</t>
  </si>
  <si>
    <t>&lt;b&gt;Interviewer: &lt;/b&gt; &lt;br&gt;Have you been able to record details for all the RDTs that you know are available in the outlet today?&lt;br&gt;
&lt;br&gt;&lt;font color=red&gt;ATTN: If **YOU** did not complete **ANY** audits using **THIS** form but your partner audited all antimalarials using their form, select **NO** here and select this reason on the next page.&lt;/font&gt;&lt;br&gt;</t>
  </si>
  <si>
    <t>&lt;b&gt;Enquêteur : &lt;/b&gt; &lt;br&gt;Avez-vous enregistré les détails de tous les TDR qui sont  disponibles aujourd'hui au niveau de ce point de vente  ?&lt;br&gt;
&lt;br&gt;&lt;font color=red&gt;ATTENTION : Si **VOUS** n'avez réalisé **AUCUN** audit avec  **CE** formulaire mais que votre partenaire a audité tous les antipaludiques avec le sien, sélectionnez **NON** ici et sélectionnez cette raison sur la page suivante.&lt;/font&gt;&lt;br&gt;</t>
  </si>
  <si>
    <t>rdtAudit_incomplete</t>
  </si>
  <si>
    <t>selected(${rdtAudit_complete}, '1') or selected(${rdtAudit_complete}, '2')</t>
  </si>
  <si>
    <t>This section is REQUIRED for assessing stock outs of RDTs</t>
  </si>
  <si>
    <t>rdt_stockouts</t>
  </si>
  <si>
    <t>Stock-outs of RDTs</t>
  </si>
  <si>
    <t>(${s6}=1 or ${s5b}=1) and ${checkpoint5}=1</t>
  </si>
  <si>
    <t>Ruptures de stock de TDR</t>
  </si>
  <si>
    <t>7.2 Stock outs of RDTs: Proportion of outlets reporting stockouts of mRDTs on the day of the survey, among RDT-stocking outlets</t>
  </si>
  <si>
    <t>d16</t>
  </si>
  <si>
    <t>&lt;br&gt;Are there any RDTs that are sold out today, but that you have had in stock for the last 3 months?</t>
  </si>
  <si>
    <t>&lt;br&gt;Y a-t-il des TDR qui sont en rupture de stock aujourd'hui, mais que vous avez en stock dans les 3 derniers mois ?</t>
  </si>
  <si>
    <t>d16_type</t>
  </si>
  <si>
    <t>&lt;br&gt;Which types of RDTs that are sold out today, have you had in stock for the last 3 months?</t>
  </si>
  <si>
    <t>${d16}=1</t>
  </si>
  <si>
    <t>&lt;br&gt;Quels types de TDR qui sont en rupture de stock aujourd'hui mais que vous avez eu en stock au cours des 3 derniers mois ?</t>
  </si>
  <si>
    <t>This section is REQUIRED for assessing microscopy</t>
  </si>
  <si>
    <t>facilitytesting</t>
  </si>
  <si>
    <t>testing:</t>
  </si>
  <si>
    <t>test :</t>
  </si>
  <si>
    <t>d3</t>
  </si>
  <si>
    <t>&lt;br&gt;Is &lt;b&gt;malaria microscopy screening&lt;/b&gt; available here today?</t>
  </si>
  <si>
    <t>&lt;br&gt;Le test de dépistage du paludisme par microscopie est-il disponible ici aujourd'hui ?</t>
  </si>
  <si>
    <t>select_one micro_noaudit</t>
  </si>
  <si>
    <t>d3b</t>
  </si>
  <si>
    <t xml:space="preserve">&lt;font color="red"&gt;During the screening section of this interview, the provider said micrsocopy screening was available here today. 
&lt;br&gt;&lt;br&gt;
&lt;b&gt;Please confirm that microscopy screening isn't available today or go back and change your response to the previous question and continue with the audit.&lt;/b&gt;
 </t>
  </si>
  <si>
    <t>selected(${d3}, '0') and ${micro_stockcurrent}=1</t>
  </si>
  <si>
    <t>&lt;font color="red"&gt;Dans la section criblage pour cette interview, le prestataire a déclaré que le test de dépistage par microscopie était disponible ici aujourd'hui.
&lt;br&gt;&lt;br&gt;
&lt;b&gt;Veuillez confirmer que le test de dépistage par microscopie n'est pas disponible aujourd'hui ou revenez en arrière et modifiez votre réponse à la question précédente et continuez l'audit.&lt;/b&gt;</t>
  </si>
  <si>
    <t>For Microscopy: 
3.3 Median sales volume of malaria blood tests: Median number (N) of malaria blood tests conducted/ sold in the week preceding the survey 
&amp;
3.4 Median sales volume of malaria blood tests among outlets with any sales of that test type: Median number (N) of malaria blood tests conducted/ sold in the week preceding the survey among outlets with any sales of that test type</t>
  </si>
  <si>
    <t xml:space="preserve">Note this indicator is repeated for microscopy here, and RDTs above
</t>
  </si>
  <si>
    <t>d4</t>
  </si>
  <si>
    <t>&lt;br&gt;How many people were tested for malaria at this facility/outlet using microscopy in the &lt;b&gt;past 7 days&lt;/b&gt;?</t>
  </si>
  <si>
    <t xml:space="preserve">selected(${d3},'1') </t>
  </si>
  <si>
    <t>&lt;br&gt;Combien de personnes ont été testées pour le paludisme par microscopie dans cette structure de santé/point de vente au cours des &lt;b&gt;7 derniers jours&lt;/b&gt; ?</t>
  </si>
  <si>
    <t>d4_WARN</t>
  </si>
  <si>
    <t>&lt;font color="red"&gt;
&lt;b&gt;Interviewer: &lt;/b&gt;
&lt;i&gt;Confirm &lt;font color="blue"&gt;${d4}&lt;/font&gt; is the correct number of people tested before proceeding&lt;/i&gt;
&lt;/font&gt;</t>
  </si>
  <si>
    <t>${d4}&gt;=50 and not(${d4}=998)</t>
  </si>
  <si>
    <t>&lt;font color="red"&gt;
&lt;b&gt;Enquêteur : &lt;/b&gt;
&lt;i&gt;Confirmez que &lt;font color="blue"&gt;${d4}&lt;/font&gt; est le nombre correct de personnes testées avant de continuer&lt;/i&gt;
&lt;/font&gt;</t>
  </si>
  <si>
    <t>For Microscopy: 
5.3 Sales price of malaria blood testing to customers: Median retail price of blood testing to consumers including any consultation or service fees (a) USD and (b) local currency</t>
  </si>
  <si>
    <t>d5</t>
  </si>
  <si>
    <t xml:space="preserve">&lt;br&gt;What is the total cost for a microscopy test for &lt;b&gt;an adult&lt;/b&gt;? </t>
  </si>
  <si>
    <t xml:space="preserve">&lt;br&gt;Quel est le coût total d'un test de dépistage par microscopie pour &lt;b&gt;un adulte&lt;/b&gt; ? </t>
  </si>
  <si>
    <t>d5_WARN</t>
  </si>
  <si>
    <t>&lt;font color="red"&gt;
&lt;b&gt;Interviewer: &lt;/b&gt;
&lt;i&gt;Confirm &lt;font color="blue"&gt;${d5}&lt;/font&gt; is the correct cost for a microscopy test for adults before proceeding&lt;/i&gt;
&lt;/font&gt;</t>
  </si>
  <si>
    <t>${d5}&gt;=5000</t>
  </si>
  <si>
    <t>&lt;font color="red"&gt;
&lt;b&gt;Enquêteur : &lt;/b&gt;
&lt;i&gt;Confirmez que le prix exact d'un test de diagnostic par microscopie pour adulte est de &lt;font color="blue"&gt;${d5}&lt;/font&gt; avant de procéder&lt;/i&gt;
&lt;/font&gt;</t>
  </si>
  <si>
    <t>d6</t>
  </si>
  <si>
    <t>&lt;br&gt;What is the total cost for a microscopy test for a &lt;b&gt;child under 5 years of age&lt;/b&gt;?</t>
  </si>
  <si>
    <t>&lt;br&gt;Quel est le coût total d'un test de diagnostic par microscopie pour un &lt;b&gt;enfant de moins de 5 ans&lt;/b&gt; ?</t>
  </si>
  <si>
    <t>d6_WARN</t>
  </si>
  <si>
    <t>&lt;font color="red"&gt;
&lt;b&gt;Interviewer: &lt;/b&gt;
&lt;i&gt;Confirm &lt;font color="blue"&gt;${d6}&lt;/font&gt; is the correct cost for a microscopy test for children under 5 before proceeding&lt;/i&gt;
&lt;/font&gt;</t>
  </si>
  <si>
    <t>${d6}&gt;=5000</t>
  </si>
  <si>
    <t>&lt;font color="red"&gt;
&lt;b&gt;Enquêteur : &lt;/b&gt;
&lt;i&gt;Confirmez que le prix exact d'un test de diagnostic par microscopie pour les enfants de moins de 5 ans est de &lt;font color="blue"&gt;${d6}&lt;/font&gt; avant de procéder&lt;/i&gt;
&lt;/font&gt;</t>
  </si>
  <si>
    <t>checkpoint_rdt</t>
  </si>
  <si>
    <t>End of blood testing audit</t>
  </si>
  <si>
    <t>&lt;font color="green"&gt;CHECKPOINT RDT AUDIT&lt;br&gt;&lt;br&gt;&lt;b&gt;INTERVIEWER&lt;/b&gt;&lt;br&gt;Are you able to continue the interview, that is, this interview &lt;b&gt;has not&lt;/b&gt; been interrupted?&lt;/font&gt;</t>
  </si>
  <si>
    <t>${testing_stock}=1 and ${do_audit}=1  and ${checkpoint_am}=1</t>
  </si>
  <si>
    <t>&lt;font color="green"&gt;POINT DE CONTRÔLE 6&lt;br&gt;&lt;br&gt;&lt;b&gt;ENQUÊTEUR&lt;/b&gt;&lt;br&gt;Êtes-vous en mesure de continuer encore l'interview sans interruption ?&lt;/font&gt;</t>
  </si>
  <si>
    <t xml:space="preserve">SUPPLIER DETAILS MODULE
</t>
  </si>
  <si>
    <t>This section is optional. It is used to gather information on suppliers used by outlets visited during the survey/census to identify their suppliers and target supplier/wholesale level interviews to also include in the survey/census</t>
  </si>
  <si>
    <t>SUPPLIERS</t>
  </si>
  <si>
    <t>10</t>
  </si>
  <si>
    <t>${prov_int}=1 and ${checkpoint6}=1</t>
  </si>
  <si>
    <t>Section 7. Fournisseurs, clients et pratiques commerciales</t>
  </si>
  <si>
    <t>sa1a</t>
  </si>
  <si>
    <t xml:space="preserve">Thinking again about your main suppliers for malaria commodities, are you able to share specific details about your main suppliers such as name and location?  
&lt;br&gt;&lt;br&gt; We will use this information to conduct additional surveys of businesses and outlets that supply malaria commodities. </t>
  </si>
  <si>
    <t xml:space="preserve">Details include name, location, payment method, delivery method. Ask respondents to provide as much information as they can, but note that they will be able to refuse or skip questions that they do not know. 
The objective of this set of question is to collect information on wholesalers that will be interviewed later as part of this study. </t>
  </si>
  <si>
    <t>(${sa1}&gt;=1 and ${sa1}&lt;97) and ${inf}!=1</t>
  </si>
  <si>
    <t>En repensant à vos principaux fournisseurs d'antipaludiques, pourriez-vous nous fournir des informations spécifiques sur vos principaux fournisseurs, comme leur nom et leur emplacement ?
&lt;br&gt;&lt;br&gt; Nous utiliserons ces informations pour mener des enquêtes supplémentaires auprès des entreprises et des points de vente qui fournissent des intrants du paludisme.</t>
  </si>
  <si>
    <t>Les détails comprennent le nom, l'emplacement, le mode de paiement et le mode de livraison. Demandez aux répondants de fournir autant d'informations que possible, mais notez qu'ils pourront refuser ou ignorer les questions qu'ils ne connaissent pas.
L'objectif de cette série de questions est de recueillir des informations sur les grossistes qui seront interrogés ultérieurement dans le cadre de cette étude.</t>
  </si>
  <si>
    <t>suppliers_INST</t>
  </si>
  <si>
    <t xml:space="preserve">&lt;font color=blue&gt;&lt;h4&gt;&lt;b&gt;Interviewer: &lt;/b&gt;&lt;/h4&gt;&lt;br&gt;
&lt;i&gt;&lt;h4&gt;Capture information on all suppliers of malaria commodities used in the &lt;b&gt;past 3 months.&lt;/b&gt;&lt;/h4&gt; 
&lt;br&gt;
&lt;b&gt;Instructions: 
&lt;br&gt;(1 )Proceed swiping forward and selecting 'Add Group'. 
&lt;br&gt;(2) Complete all questions and add new groups for each different supplier
&lt;br&gt;(3) If the provider does not know or does not wish to answer, select these choices or follow instructions in the 'hint' on each page.
</t>
  </si>
  <si>
    <t>${sa1a}=1</t>
  </si>
  <si>
    <t>&lt;font color=blue&gt;&lt;h4&gt;&lt;b&gt;Enquêteur : &lt;/b&gt;&lt;/h4&gt;&lt;br&gt;
&lt;i&gt;&lt;h4&gt;Collecter les informations sur tous les fournisseurs d'antipaludiques approchés au cours des &lt;b&gt;3 derniers mois.&lt;/b&gt;&lt;/h4&gt;
&lt;br&gt;
&lt;b&gt;Instructions :
&lt;br&gt;(1) Balayer vers l'avant pour avancer et sélectionnez « Ajouter un groupe ».
&lt;br&gt;(2) Complétez toutes les questions et ajoutez de nouveau groupe pour chaque fournisseur
&lt;br&gt;(3) Si le fournisseur ne sait pas ou ne souhaite pas répondre, sélectionnez ces choix ou suivez les instructions dans l'« indice » sur chaque page.</t>
  </si>
  <si>
    <t>_suppliers</t>
  </si>
  <si>
    <t>Supplier(s)</t>
  </si>
  <si>
    <t>${sa1a}=1 and ${inf}!=1</t>
  </si>
  <si>
    <t>Fournisseur(s) d'antipaludiques</t>
  </si>
  <si>
    <t>supp1</t>
  </si>
  <si>
    <t>&lt;br&gt; Supplier name:</t>
  </si>
  <si>
    <t>&lt;br&gt; Nom du fournisseur :</t>
  </si>
  <si>
    <t>MAY REQUIRE INPUT/EDIT TO CHOICES - update to include common/ relevant supplier types</t>
  </si>
  <si>
    <t>select_one fournisseur</t>
  </si>
  <si>
    <t>supp2</t>
  </si>
  <si>
    <t>&lt;br&gt; Type of supplier?</t>
  </si>
  <si>
    <t>&lt;br&gt; Type de fournisseur :</t>
  </si>
  <si>
    <t>supp3</t>
  </si>
  <si>
    <t>${supp2}=96</t>
  </si>
  <si>
    <t>Aute type de fournisseur ?</t>
  </si>
  <si>
    <t>select_one commodity</t>
  </si>
  <si>
    <t>supp99</t>
  </si>
  <si>
    <t>&lt;br&gt;What type of malaria commodities do you purchase form this supplier?</t>
  </si>
  <si>
    <t>REQUIRES INPUT/EDIT TO CHOICES - update to applicable administrative units</t>
  </si>
  <si>
    <t>select_one state</t>
  </si>
  <si>
    <t>supp4</t>
  </si>
  <si>
    <t>&lt;br&gt; What state is the supplier located in?</t>
  </si>
  <si>
    <t>&lt;br&gt;Dans quel état se trouve le fournisseur ?</t>
  </si>
  <si>
    <t>supp5</t>
  </si>
  <si>
    <t>&lt;br&gt; City / town of supplier.&lt;br&gt;</t>
  </si>
  <si>
    <t>&lt;br&gt;Ville / commune du fournisseur.&lt;br&gt;</t>
  </si>
  <si>
    <t>supp6</t>
  </si>
  <si>
    <t>&lt;br&gt; Physical address or description of business location.&lt;br&gt;</t>
  </si>
  <si>
    <t>Provide landmarks and other information to help identify the location of this outlet</t>
  </si>
  <si>
    <t>&lt;br&gt;Adresse physique ou description de l'emplacement de l'entreprise du fournisseur.&lt;br&gt;</t>
  </si>
  <si>
    <t>Fournir des points de repère et d'autres informations pour aider à identifier l'emplacement de ce point de vente</t>
  </si>
  <si>
    <t>supp7</t>
  </si>
  <si>
    <t>Contact information (if available)</t>
  </si>
  <si>
    <t>Provide phone number or any other information to contact this outlet</t>
  </si>
  <si>
    <t>Coordonnées (si disponibles)</t>
  </si>
  <si>
    <t>Fournissez un numéro de téléphone ou toute autre information pour contacter ce point de vente</t>
  </si>
  <si>
    <t>suppliers</t>
  </si>
  <si>
    <t>suppliers_END</t>
  </si>
  <si>
    <t xml:space="preserve">&lt;b&gt;Interviewer: &lt;/b&gt;
&lt;br&gt;Thank the respondent for their antimalarial supplier information and proceed. </t>
  </si>
  <si>
    <t>&lt;b&gt;Enquêteur: &lt;/b&gt;
&lt;br&gt;Remerciez le répondant pour les informations sur son fournisseur d'antipaludiques et poursuivez.</t>
  </si>
  <si>
    <t>checkpoint_supp</t>
  </si>
  <si>
    <t>End of Supplier Details Module</t>
  </si>
  <si>
    <t>&lt;font color="green"&gt;CHECKPOINT SUPPLIER DETAILS&lt;br&gt;&lt;br&gt;&lt;b&gt;INTERVIEWER&lt;/b&gt;&lt;br&gt;Are you able to continue the interview, that is, this interview &lt;b&gt;has not&lt;/b&gt; been interrupted?&lt;/font&gt;</t>
  </si>
  <si>
    <t>${prov_int}=1 and ${inf}!=1 and ${checkpoint_rdt}=1</t>
  </si>
  <si>
    <t>&lt;font color="green"&gt;section 7 à mi-parcours POINT DE CONTRÔLE&lt;br&gt;&lt;br&gt;&lt;b&gt;ENQUÊTEUR&lt;/b&gt;&lt;br&gt;Êtes-vous en mesure de poursuivre l'entretien &lt;b&gt; sans interruption pour cette interview&lt;/b&gt; ?&lt;/font&gt;</t>
  </si>
  <si>
    <t xml:space="preserve">INTERVIEW RESULTS MODULE
</t>
  </si>
  <si>
    <t>This section is REQUIRED 
The final results of the interview are confirmed here.</t>
  </si>
  <si>
    <t>End of interview</t>
  </si>
  <si>
    <t>sectionX</t>
  </si>
  <si>
    <t>X</t>
  </si>
  <si>
    <t>Section X: End of interview</t>
  </si>
  <si>
    <t>Section X : Fin de l'interview</t>
  </si>
  <si>
    <t>select_one lblvisit</t>
  </si>
  <si>
    <t>c9</t>
  </si>
  <si>
    <t xml:space="preserve">&lt;b&gt;Interviewer: &lt;/b&gt;: &lt;br&gt;
Record the result of the interview here: </t>
  </si>
  <si>
    <t>${eligible}=1 and ${consented}=1</t>
  </si>
  <si>
    <t>&lt;b&gt;Intervieweur : &lt;/b&gt; : &lt;br&gt;
Enregistrez le résultat de l'enquête ici :</t>
  </si>
  <si>
    <t>status_other</t>
  </si>
  <si>
    <t>Specify other survey result:</t>
  </si>
  <si>
    <t xml:space="preserve">selected(${c9}, '96') </t>
  </si>
  <si>
    <t>Spécifiez si le résultat d'enquête est autre :</t>
  </si>
  <si>
    <t>survey_complete</t>
  </si>
  <si>
    <t xml:space="preserve">&lt;font color="blue"&gt;&lt;b&gt;Interviewer:&lt;/b&gt;
&lt;br&gt;&lt;i&gt;The interview is now complete. 
&lt;br&gt;
&lt;br&gt;Thank the respondent for their time
&lt;br&gt;
&lt;br&gt; Save this form
&lt;br&gt;
&lt;br&gt;Proceed to the next outlet. </t>
  </si>
  <si>
    <t xml:space="preserve">${c9}=1 </t>
  </si>
  <si>
    <t>&lt;font color="blue"&gt;&lt;b&gt;Enquêteur:&lt;/b&gt;
&lt;br&gt;&lt;i&gt;L'interview est maintenant terminée.
&lt;br&gt;
&lt;br&gt;Remerciez le répondant pour son temps
&lt;br&gt;
&lt;br&gt;Enregistrez ce formulaire
&lt;br&gt;
&lt;br&gt;Passez à la prochaine étape.</t>
  </si>
  <si>
    <t>survey_incomplete</t>
  </si>
  <si>
    <t>&lt;font color="blue"&gt;&lt;b&gt;Interviewer:&lt;/b&gt;
&lt;br&gt;
&lt;br&gt;Save this form. 
&lt;br&gt;
&lt;i&gt;&lt;br&gt; If the provider is willing to complete the interview at another time, arrange time (ideally later today) to return. 
&lt;br&gt;Come back to this form to complete the survey at that time.&lt;/i&gt;
&lt;br&gt;
&lt;br&gt;If the provider is not willing or able to continue, proceed to the next outlet.</t>
  </si>
  <si>
    <t>${c9}=96 or ${c9}=97 or ${c9}=99</t>
  </si>
  <si>
    <t>&lt;font color="blue"&gt;&lt;b&gt;Enquêteur :&lt;/b&gt;
&lt;br&gt;
&lt;br&gt;Enregistrez ce formulaire.
&lt;br&gt;
&lt;i&gt;&lt;br&gt;Si le prestataire préfère terminer l'interview à un autre moment, arranger un autre rendez-vous (idéalement plus tard dans la journée) pour revenir et terminer l'enquête.
&lt;br&gt;Revenez à ce formulaire pour compléter l'enquête au rendez-vous défini.&lt;/i&gt;
&lt;br&gt;
&lt;br&gt;Si le prestataire n'est pas disponible ou n'est pas en mesure de continuer, passez au point de vente suivant.</t>
  </si>
  <si>
    <t>screen_later</t>
  </si>
  <si>
    <t>selected(${cantscreen}, '3') or selected(${cantscreen}, '4') or selected(${cantscreen}, '96')</t>
  </si>
  <si>
    <t>screen_notpossible</t>
  </si>
  <si>
    <t xml:space="preserve">&lt;font color="blue"&gt;&lt;b&gt;Interviewer:&lt;/b&gt;
&lt;br&gt;&lt;i&gt; The interview could not be completed at this outlet. 
&lt;br&gt;
&lt;br&gt;Save this form. 
&lt;br&gt;
&lt;br&gt;Proceed to the next outlet. </t>
  </si>
  <si>
    <t xml:space="preserve">selected(${cantscreen}, '1') or selected(${cantscreen}, '2') </t>
  </si>
  <si>
    <t>&lt;font color="blue"&gt;&lt;b&gt;Enquêteur:&lt;/b&gt;
&lt;br&gt;&lt;i&gt; L'interview n'a pas pu être réalisée dans ce point de vente.
&lt;br&gt;
&lt;br&gt;Enregistrer ce formulaire.
&lt;br&gt;
&lt;br&gt;Passer au point de vente suivant.</t>
  </si>
  <si>
    <t>end3</t>
  </si>
  <si>
    <t>&lt;b&gt;Interviewer: &lt;/b&gt;: &lt;br&gt;
Additional observations/comments by the interviewer</t>
  </si>
  <si>
    <t>&lt;b&gt;Enquêteur: &lt;/b&gt; : &lt;br&gt;
Observations/commentaires supplémentaires par l'enquêteur</t>
  </si>
  <si>
    <t>End of questionnaire</t>
  </si>
  <si>
    <t>list_name</t>
  </si>
  <si>
    <t>value</t>
  </si>
  <si>
    <t>label:French</t>
  </si>
  <si>
    <t>REQUIRES COUNTRY SPECIFIC INPUT</t>
  </si>
  <si>
    <t>adm1</t>
  </si>
  <si>
    <t>Administrative area level 1 - Name A</t>
  </si>
  <si>
    <t>YES</t>
  </si>
  <si>
    <t>Administrative area level 1 - Name B</t>
  </si>
  <si>
    <t>Administrative area level 1 - Name C</t>
  </si>
  <si>
    <t>adm2</t>
  </si>
  <si>
    <t>Administrative area level 2 - Name 1</t>
  </si>
  <si>
    <t>Administrative area level 2 - Name 2</t>
  </si>
  <si>
    <t>Administrative area level 2 - Name 3</t>
  </si>
  <si>
    <t>Administrative area level 2 - Name 4</t>
  </si>
  <si>
    <t>Administrative area level 2 - Name 5</t>
  </si>
  <si>
    <t>Administrative area level 2 - Name 6</t>
  </si>
  <si>
    <t>Administrative area level 2 - Name 7</t>
  </si>
  <si>
    <t>Administrative area level 2 - Name 8</t>
  </si>
  <si>
    <t>Administrative area level 2 - Name 9</t>
  </si>
  <si>
    <t>Administrative area level 2 - Name 10</t>
  </si>
  <si>
    <t>Administrative area level 2 - Name 11</t>
  </si>
  <si>
    <t>Administrative area level 2 - Name 12</t>
  </si>
  <si>
    <t>Administrative area level 2 - Name 13</t>
  </si>
  <si>
    <t>Administrative area level 2 - Name 14</t>
  </si>
  <si>
    <t>Administrative area level 2 - Name 15</t>
  </si>
  <si>
    <t>Administrative area level 2 - Name 16</t>
  </si>
  <si>
    <t>Administrative area level 2 - Name 17</t>
  </si>
  <si>
    <t>adm3_cluster</t>
  </si>
  <si>
    <t>Cluster 1</t>
  </si>
  <si>
    <t>Cluster 2</t>
  </si>
  <si>
    <t>Cluster 3</t>
  </si>
  <si>
    <t>Cluster 4</t>
  </si>
  <si>
    <t>Cluster 5</t>
  </si>
  <si>
    <t>Cluster 6</t>
  </si>
  <si>
    <t>Cluster 7</t>
  </si>
  <si>
    <t>Cluster 8</t>
  </si>
  <si>
    <t>Cluster 9</t>
  </si>
  <si>
    <t>Cluster 10</t>
  </si>
  <si>
    <t>Cluster 11</t>
  </si>
  <si>
    <t>Cluster 12</t>
  </si>
  <si>
    <t>Cluster 13</t>
  </si>
  <si>
    <t>Cluster 14</t>
  </si>
  <si>
    <t>Cluster 15</t>
  </si>
  <si>
    <t>Cluster 16</t>
  </si>
  <si>
    <t>Cluster 17</t>
  </si>
  <si>
    <t>Cluster 18</t>
  </si>
  <si>
    <t>Cluster 19</t>
  </si>
  <si>
    <t>Cluster 20</t>
  </si>
  <si>
    <t>Cluster 21</t>
  </si>
  <si>
    <t>Cluster 22</t>
  </si>
  <si>
    <t>Cluster 23</t>
  </si>
  <si>
    <t>Cluster 24</t>
  </si>
  <si>
    <t>Cluster 25</t>
  </si>
  <si>
    <t>Cluster 26</t>
  </si>
  <si>
    <t>Cluster 27</t>
  </si>
  <si>
    <t>Cluster 28</t>
  </si>
  <si>
    <t>Cluster 29</t>
  </si>
  <si>
    <t>Cluster 30</t>
  </si>
  <si>
    <t>Cluster 31</t>
  </si>
  <si>
    <t>Cluster 32</t>
  </si>
  <si>
    <t>Cluster 33</t>
  </si>
  <si>
    <t>businesstype</t>
  </si>
  <si>
    <t>Drug importer</t>
  </si>
  <si>
    <t>Importateur de médicaments</t>
  </si>
  <si>
    <t>Drug manufacturer</t>
  </si>
  <si>
    <t>Fabricant de médicaments</t>
  </si>
  <si>
    <t>Drug distributor/ distribution center</t>
  </si>
  <si>
    <t>Distributeur/centre de distribution de médicaments</t>
  </si>
  <si>
    <t>Drug wholesaler</t>
  </si>
  <si>
    <t>Grossiste en médicaments</t>
  </si>
  <si>
    <t>Pharmacies</t>
  </si>
  <si>
    <t>Clinic</t>
  </si>
  <si>
    <t>Clinique</t>
  </si>
  <si>
    <t>Other shop selling drugs</t>
  </si>
  <si>
    <t>Autre magasin vendant du médicament</t>
  </si>
  <si>
    <t>Autre</t>
  </si>
  <si>
    <t>cell_apps</t>
  </si>
  <si>
    <t>Mobile money</t>
  </si>
  <si>
    <t>SMS</t>
  </si>
  <si>
    <t>WhatsApp / Other messaging applications</t>
  </si>
  <si>
    <t>WhatsApp / Autres applications de messagerie</t>
  </si>
  <si>
    <t>Call</t>
  </si>
  <si>
    <t>Appel</t>
  </si>
  <si>
    <t>countries</t>
  </si>
  <si>
    <t>BELGIUM</t>
  </si>
  <si>
    <t>BELGIQUE</t>
  </si>
  <si>
    <t>BENIN</t>
  </si>
  <si>
    <t>CAMEROON</t>
  </si>
  <si>
    <t>CAMEROUN</t>
  </si>
  <si>
    <t>CANADA</t>
  </si>
  <si>
    <t>CHINA</t>
  </si>
  <si>
    <t>CHINE</t>
  </si>
  <si>
    <t>COTE D'IVOIRE</t>
  </si>
  <si>
    <t>CYPRUS</t>
  </si>
  <si>
    <t>FRANCE</t>
  </si>
  <si>
    <t>GERMANY</t>
  </si>
  <si>
    <t>ALLEMAGNE</t>
  </si>
  <si>
    <t>GHANA</t>
  </si>
  <si>
    <t>GREECE</t>
  </si>
  <si>
    <t>GRECE</t>
  </si>
  <si>
    <t>INDIA</t>
  </si>
  <si>
    <t>INDE</t>
  </si>
  <si>
    <t>ITALY</t>
  </si>
  <si>
    <t>ITALIE</t>
  </si>
  <si>
    <t>KENYA</t>
  </si>
  <si>
    <t>MAURITIUS</t>
  </si>
  <si>
    <t>MAURICE</t>
  </si>
  <si>
    <t>MOROCCO</t>
  </si>
  <si>
    <t>MAROC</t>
  </si>
  <si>
    <t>NIGERIA</t>
  </si>
  <si>
    <t>PAKISTAN</t>
  </si>
  <si>
    <t>PORTUGAL</t>
  </si>
  <si>
    <t>SINGAPORE</t>
  </si>
  <si>
    <t>SOUTH AFRICA</t>
  </si>
  <si>
    <t>AFRIQUE DU SUD</t>
  </si>
  <si>
    <t>SOUTH KOREA</t>
  </si>
  <si>
    <t>CORÉE DU SUD</t>
  </si>
  <si>
    <t>SPAIN</t>
  </si>
  <si>
    <t>ESPAGNE</t>
  </si>
  <si>
    <t>SWITZERLAND</t>
  </si>
  <si>
    <t>SUISSE</t>
  </si>
  <si>
    <t>TAIWAN</t>
  </si>
  <si>
    <t>TOGO</t>
  </si>
  <si>
    <t>TURKEY</t>
  </si>
  <si>
    <t>TURQUIE</t>
  </si>
  <si>
    <t>UNITED KINGDOM</t>
  </si>
  <si>
    <t>ROYAUME-UNI</t>
  </si>
  <si>
    <t>UNITED STATES</t>
  </si>
  <si>
    <t>ETATS UNIS</t>
  </si>
  <si>
    <t>VIETNAM</t>
  </si>
  <si>
    <t>No country stated</t>
  </si>
  <si>
    <t>Aucun pays indiqué</t>
  </si>
  <si>
    <t>customerloc</t>
  </si>
  <si>
    <t>From this community</t>
  </si>
  <si>
    <t>De cette communauté</t>
  </si>
  <si>
    <t>From neighboring communities</t>
  </si>
  <si>
    <t>Des communautés voisines</t>
  </si>
  <si>
    <t>From further away, but within this state</t>
  </si>
  <si>
    <t>De plus loin, mais dans cet état</t>
  </si>
  <si>
    <t>From other states</t>
  </si>
  <si>
    <r>
      <rPr>
        <sz val="10"/>
        <color theme="1"/>
        <rFont val="Arial"/>
        <family val="2"/>
      </rPr>
      <t xml:space="preserve">D'autres États du </t>
    </r>
    <r>
      <rPr>
        <sz val="10"/>
        <color theme="1"/>
        <rFont val="Arial"/>
        <family val="2"/>
      </rPr>
      <t>[pays]</t>
    </r>
  </si>
  <si>
    <t>From other countries</t>
  </si>
  <si>
    <t>D'autres pays</t>
  </si>
  <si>
    <t>Online/ from the internet</t>
  </si>
  <si>
    <t>En ligne/à travers Internet</t>
  </si>
  <si>
    <t xml:space="preserve">Don't know </t>
  </si>
  <si>
    <t>Ne sait pas</t>
  </si>
  <si>
    <t xml:space="preserve">Refusal </t>
  </si>
  <si>
    <t>Refus</t>
  </si>
  <si>
    <t>customertype_3</t>
  </si>
  <si>
    <t>PUBLIC health facilities</t>
  </si>
  <si>
    <t>Établissements de santé PUBLICS</t>
  </si>
  <si>
    <t>PRIVATE health facilities</t>
  </si>
  <si>
    <t>Établissements de santé PRIVES</t>
  </si>
  <si>
    <t>General retailer</t>
  </si>
  <si>
    <t>Détaillant général</t>
  </si>
  <si>
    <t>General wholesaler</t>
  </si>
  <si>
    <t>Grossiste général</t>
  </si>
  <si>
    <t>PPMVs</t>
  </si>
  <si>
    <t>equipe</t>
  </si>
  <si>
    <t>TEAM 1</t>
  </si>
  <si>
    <t>TEAM 2</t>
  </si>
  <si>
    <t>TEAM 3</t>
  </si>
  <si>
    <t>TEAM 4</t>
  </si>
  <si>
    <t>formulaire</t>
  </si>
  <si>
    <t>Directly to government</t>
  </si>
  <si>
    <t>Directement au gouvernement</t>
  </si>
  <si>
    <t>Directly in to DHIS2 platform</t>
  </si>
  <si>
    <t>Directement dans la plateforme DHIS2</t>
  </si>
  <si>
    <t>To specific project/ NGO</t>
  </si>
  <si>
    <t>Vers un projet spécifique/une ONG</t>
  </si>
  <si>
    <t>Don't know</t>
  </si>
  <si>
    <t>fournisseur</t>
  </si>
  <si>
    <t>International manufacturer</t>
  </si>
  <si>
    <t>Fabricant international</t>
  </si>
  <si>
    <t>Local manufacturer</t>
  </si>
  <si>
    <t>Pharmacy wholesale</t>
  </si>
  <si>
    <t>Grossiste pharmaceutique</t>
  </si>
  <si>
    <t>PPMV / chemist</t>
  </si>
  <si>
    <t>PPMV / chimiste</t>
  </si>
  <si>
    <t>Other informal outlet</t>
  </si>
  <si>
    <t>Autre point de vente informel</t>
  </si>
  <si>
    <t>Other private outlet/seller</t>
  </si>
  <si>
    <t>Autre point de vente/vendeur privé</t>
  </si>
  <si>
    <t>Refuse to answer</t>
  </si>
  <si>
    <t>Refuser de répondre</t>
  </si>
  <si>
    <t>interviewer</t>
  </si>
  <si>
    <t>NAME 1</t>
  </si>
  <si>
    <t>NAME 2</t>
  </si>
  <si>
    <t>NAME 3</t>
  </si>
  <si>
    <t>NAME 4</t>
  </si>
  <si>
    <t>NAME 5</t>
  </si>
  <si>
    <t>NAME 6</t>
  </si>
  <si>
    <t>NAME 7</t>
  </si>
  <si>
    <t>NAME 8</t>
  </si>
  <si>
    <t>NAME 9</t>
  </si>
  <si>
    <t>NAME 10</t>
  </si>
  <si>
    <t>NAME 11</t>
  </si>
  <si>
    <t>NAME 12</t>
  </si>
  <si>
    <t>NAME 13</t>
  </si>
  <si>
    <t>NAME 14</t>
  </si>
  <si>
    <t>NAME 15</t>
  </si>
  <si>
    <t>NAME 16</t>
  </si>
  <si>
    <t>licence_check</t>
  </si>
  <si>
    <t>YES - the repondent REPORTS having this licence</t>
  </si>
  <si>
    <t>OUI - le répondant DÉCLARE avoir ce permis</t>
  </si>
  <si>
    <t>YES - the repondent REPORTS and you have OBSERVED the licence</t>
  </si>
  <si>
    <t>OUI - le répondant SIGNALE et vous avez VU la licence</t>
  </si>
  <si>
    <t>NO - the respondent reports NOT having the licence</t>
  </si>
  <si>
    <t>NON – le répondant déclare NE PAS avoir le licence</t>
  </si>
  <si>
    <t>Respondent refused to answer</t>
  </si>
  <si>
    <t>Le répondant a refusé de répondre</t>
  </si>
  <si>
    <t>Respondent does not know</t>
  </si>
  <si>
    <t>Le répondant ne sait pas</t>
  </si>
  <si>
    <t>NOT APPLICABLE- this outlet type does not require this MoH agreement</t>
  </si>
  <si>
    <t>NON APPLICABLE - ce type de point de vente ne nécessite pas cette autorisation du ministère de la Santé</t>
  </si>
  <si>
    <t>openhrs</t>
  </si>
  <si>
    <t>Refused</t>
  </si>
  <si>
    <t>outlettype_r</t>
  </si>
  <si>
    <t>For-profit facility/ clinic</t>
  </si>
  <si>
    <t>Clinique ou hôpital</t>
  </si>
  <si>
    <t>Laboratory</t>
  </si>
  <si>
    <t>Laboratoire</t>
  </si>
  <si>
    <t>Pharmacy or dispensary</t>
  </si>
  <si>
    <t>Pharmacie communautaire ou dispensaire</t>
  </si>
  <si>
    <t>Drug shop</t>
  </si>
  <si>
    <t>Chimiste/PPMV - Fournisseurs de médicaments brevetés et exclusifs</t>
  </si>
  <si>
    <t>Retail shop</t>
  </si>
  <si>
    <t>Boutique au détail</t>
  </si>
  <si>
    <t>Street vendor</t>
  </si>
  <si>
    <t>Vendeur ambulant</t>
  </si>
  <si>
    <t>At home</t>
  </si>
  <si>
    <t>À la maison</t>
  </si>
  <si>
    <t>outlettype_ws</t>
  </si>
  <si>
    <t>Manufacturer</t>
  </si>
  <si>
    <t>Fabricant</t>
  </si>
  <si>
    <t>Pharmacies grossistes</t>
  </si>
  <si>
    <t>phonetype</t>
  </si>
  <si>
    <t>Landline or non-mobile phone (non-network phone)</t>
  </si>
  <si>
    <t>Téléphone fixe ou non-mobile</t>
  </si>
  <si>
    <t>Simple mobile phone (voice, SMS)</t>
  </si>
  <si>
    <t>Téléphone mobile simple (voix, SMS)</t>
  </si>
  <si>
    <t>Feature phone (voice, SMS, limited access to some internet applications)</t>
  </si>
  <si>
    <t>Téléphone fonctionnel (voix, SMS, accès limité à certaines applications Internet)</t>
  </si>
  <si>
    <t>Smartphone</t>
  </si>
  <si>
    <t>qualification_type</t>
  </si>
  <si>
    <t>Pharmacist</t>
  </si>
  <si>
    <t>Pharmacien</t>
  </si>
  <si>
    <t>Doctor</t>
  </si>
  <si>
    <t>Docteur</t>
  </si>
  <si>
    <t>Nurse</t>
  </si>
  <si>
    <t>Infirmière</t>
  </si>
  <si>
    <t>Midwife</t>
  </si>
  <si>
    <t>Sage-femme</t>
  </si>
  <si>
    <t>Laboratory technician / Laboratory assistant</t>
  </si>
  <si>
    <t>Technicien de laboratoire / Assistant de laboratoire</t>
  </si>
  <si>
    <t>Pharmacy technician / Pharmacy assistant</t>
  </si>
  <si>
    <t>Technicien en pharmacie / Assistant en pharmacie</t>
  </si>
  <si>
    <t>Caregiver</t>
  </si>
  <si>
    <t>Soignant(e)</t>
  </si>
  <si>
    <t>Counsellor (HIV, TB, Family Planning, etc.)</t>
  </si>
  <si>
    <t>Conseiller (VIH, tuberculose, planification familiale, etc.)</t>
  </si>
  <si>
    <t>Community health worker</t>
  </si>
  <si>
    <t>Agent de santé communautaire</t>
  </si>
  <si>
    <t xml:space="preserve">Apprentice </t>
  </si>
  <si>
    <t xml:space="preserve">Apprenti(e) </t>
  </si>
  <si>
    <t xml:space="preserve">Other </t>
  </si>
  <si>
    <t>Don’t know</t>
  </si>
  <si>
    <t>No (other) health-related qualification(s)</t>
  </si>
  <si>
    <t>Aucune (autre) qualification(s) liée(s) à la santé</t>
  </si>
  <si>
    <t>raison_chan</t>
  </si>
  <si>
    <t>Inflation / exchange rate</t>
  </si>
  <si>
    <t>Inflation / taux de change</t>
  </si>
  <si>
    <t>Competition form other products</t>
  </si>
  <si>
    <t>Concours d'autres produits</t>
  </si>
  <si>
    <t>Product scarcity</t>
  </si>
  <si>
    <t>Pénurie de produits</t>
  </si>
  <si>
    <t>Changes in wholesaler margins</t>
  </si>
  <si>
    <t>Évolution des marges des grossistes</t>
  </si>
  <si>
    <t>Taxes (income tax, customs)</t>
  </si>
  <si>
    <t>Impôts (impôt sur le revenu, douanes)</t>
  </si>
  <si>
    <t>reco_circon</t>
  </si>
  <si>
    <t>When they have signs/symptoms of malaria</t>
  </si>
  <si>
    <t>Lorsqu'ils présentent des signes/symptômes de paludisme</t>
  </si>
  <si>
    <t>When they ask for antimalarial treatment</t>
  </si>
  <si>
    <t>Lorsqu'ils demandent un traitement antipaludique</t>
  </si>
  <si>
    <t>When they are children</t>
  </si>
  <si>
    <t>Quand ils sont des enfants</t>
  </si>
  <si>
    <t>When they are adults</t>
  </si>
  <si>
    <t>Quand ils sont des adultes</t>
  </si>
  <si>
    <t>When they are pregnant women</t>
  </si>
  <si>
    <t>Quand elles sont des femmes enceintes</t>
  </si>
  <si>
    <t>When I don't trust the test</t>
  </si>
  <si>
    <t>Quand je ne fais pas confiance au test</t>
  </si>
  <si>
    <t>When I know the patient/client</t>
  </si>
  <si>
    <t>Quand je connais le patient/client</t>
  </si>
  <si>
    <t>state</t>
  </si>
  <si>
    <t>STATE 1</t>
  </si>
  <si>
    <t>STATE 2</t>
  </si>
  <si>
    <t>STATE 3</t>
  </si>
  <si>
    <t>training_purpose</t>
  </si>
  <si>
    <t>Malaria diagnosis</t>
  </si>
  <si>
    <t>Test de diagnostic du paludisme</t>
  </si>
  <si>
    <t>Malaria treatment</t>
  </si>
  <si>
    <t>Traitement du paludisme</t>
  </si>
  <si>
    <t>Malaria case recording and reporting (surveillance)</t>
  </si>
  <si>
    <t>Enregistrement et rapportage des cas de paludisme (surveillance)</t>
  </si>
  <si>
    <t>None</t>
  </si>
  <si>
    <t>Néant</t>
  </si>
  <si>
    <t>am_noaudit</t>
  </si>
  <si>
    <t>Yes, I confirm there are NO antimalarials present</t>
  </si>
  <si>
    <t>Oui, je confirme qu'il n'y a AUCUN antipaludique présent</t>
  </si>
  <si>
    <t>The provider refused to show antimalarials present</t>
  </si>
  <si>
    <t>Le prestataire a refusé de montrer les antipaludiques qui sont présents</t>
  </si>
  <si>
    <t xml:space="preserve">Other reason </t>
  </si>
  <si>
    <t>Autre raison</t>
  </si>
  <si>
    <t>am_oos</t>
  </si>
  <si>
    <t>Amodiaquine</t>
  </si>
  <si>
    <t>Artemether</t>
  </si>
  <si>
    <t>Artéméther</t>
  </si>
  <si>
    <t>Artemether-lumefantrine (AL, eg. Coartem, Luther, L-Artem, Lonart, Co-Rimetar, Lumartem)</t>
  </si>
  <si>
    <t>Artéméther-luméfantrine (AL, par exemple Coartem, Luther, L-Artem, Lonart, Co-Rimetar, Lumartem)</t>
  </si>
  <si>
    <t>Artemisinin</t>
  </si>
  <si>
    <t>Artémisinine</t>
  </si>
  <si>
    <t>Artesunate</t>
  </si>
  <si>
    <t>Artésunate</t>
  </si>
  <si>
    <t>Artesunate-amodiaquine</t>
  </si>
  <si>
    <t>Artésunate-amodiaquine</t>
  </si>
  <si>
    <t>Artesunate-SP</t>
  </si>
  <si>
    <t>Artésunate-SP</t>
  </si>
  <si>
    <t>Chloroquine</t>
  </si>
  <si>
    <t>ACT (artemisinin combination therapies)</t>
  </si>
  <si>
    <t>ACT (Combinaison thérapeutique à base d'artémisinine)</t>
  </si>
  <si>
    <t>Dihydroartemisinin-piperaquine (DHA-PPQ)</t>
  </si>
  <si>
    <t>Dihydroartémisinine-pipéraquine (DHA-PPQ)</t>
  </si>
  <si>
    <t>Quinine</t>
  </si>
  <si>
    <t>Sulfadoxine-pyrimethamine (SP, eg. Fansidar)</t>
  </si>
  <si>
    <t>Sulfadoxine-pyriméthamine (SP, par exemple Fansidar)</t>
  </si>
  <si>
    <t>num_id</t>
  </si>
  <si>
    <t>amBrand</t>
  </si>
  <si>
    <t>antigene</t>
  </si>
  <si>
    <t>HRP2</t>
  </si>
  <si>
    <t>pLDH</t>
  </si>
  <si>
    <t>HRP2/pLDH</t>
  </si>
  <si>
    <t>HRP2/Aldolase</t>
  </si>
  <si>
    <t>Not indicated</t>
  </si>
  <si>
    <t>Non indiqué</t>
  </si>
  <si>
    <t>audit_incomplete</t>
  </si>
  <si>
    <t>Yes, full audit</t>
  </si>
  <si>
    <t>Oui, audit complet</t>
  </si>
  <si>
    <t>No, audit was not started</t>
  </si>
  <si>
    <t>Non, l'audit n'a pas encore démarré</t>
  </si>
  <si>
    <t xml:space="preserve">No, audit was only partially completed </t>
  </si>
  <si>
    <t>Non, l'audit a partiellement réalisé</t>
  </si>
  <si>
    <t>Retail</t>
  </si>
  <si>
    <t>Détaillant</t>
  </si>
  <si>
    <t>Wholesale</t>
  </si>
  <si>
    <t>Grossiste</t>
  </si>
  <si>
    <t>commodity</t>
  </si>
  <si>
    <t xml:space="preserve">Antimalarials </t>
  </si>
  <si>
    <t>MISSING</t>
  </si>
  <si>
    <t>RDTs</t>
  </si>
  <si>
    <t>Both</t>
  </si>
  <si>
    <t>computertype</t>
  </si>
  <si>
    <t>Tablet(s)</t>
  </si>
  <si>
    <t>Tablette(s)</t>
  </si>
  <si>
    <t>Laptop(s)</t>
  </si>
  <si>
    <t>Ordinateur portable(s)</t>
  </si>
  <si>
    <t>Desktop(s)</t>
  </si>
  <si>
    <t>Ordinateur de bureau(s)</t>
  </si>
  <si>
    <t>Yes</t>
  </si>
  <si>
    <t>Oui</t>
  </si>
  <si>
    <t>No - the provider refused</t>
  </si>
  <si>
    <t>Non - le prestataire a refusé</t>
  </si>
  <si>
    <t>No - a provider was not available or the time is not suitable</t>
  </si>
  <si>
    <t>Non, le fournisseur n'était pas disponible ou le moment n'était pas approprié</t>
  </si>
  <si>
    <t>distributionmethod</t>
  </si>
  <si>
    <t>The outlet delivers to customers</t>
  </si>
  <si>
    <t>Le point de vente livre les produits aux clients</t>
  </si>
  <si>
    <t>Customers come to the outlet to pick them up</t>
  </si>
  <si>
    <t>Les clients viennent au point de vente pour récupérer les produits</t>
  </si>
  <si>
    <t>Through third party carriers (eg. Delivery companies, courriers, etc.)</t>
  </si>
  <si>
    <t>Par l'intermédiaire de transporteurs tiers (par exemple, sociétés de livraison, coursiers, etc.)</t>
  </si>
  <si>
    <t>dosage</t>
  </si>
  <si>
    <t>Suppository</t>
  </si>
  <si>
    <t>Suppositoire</t>
  </si>
  <si>
    <t>Granule</t>
  </si>
  <si>
    <t>Syrup</t>
  </si>
  <si>
    <t>Sirop</t>
  </si>
  <si>
    <t>Suspension</t>
  </si>
  <si>
    <t>Liquid Injectable</t>
  </si>
  <si>
    <t>Liquide Injectable</t>
  </si>
  <si>
    <t>Powder Injectable</t>
  </si>
  <si>
    <t>Poudre Injectable</t>
  </si>
  <si>
    <t>Drops</t>
  </si>
  <si>
    <t>Gouttes</t>
  </si>
  <si>
    <t>Not applicable</t>
  </si>
  <si>
    <t>Non applicable</t>
  </si>
  <si>
    <t>Search the database</t>
  </si>
  <si>
    <t>Rechercher dans la base de données</t>
  </si>
  <si>
    <t>Manually enter information</t>
  </si>
  <si>
    <t>Saisir manuellement les informations</t>
  </si>
  <si>
    <t>internettype</t>
  </si>
  <si>
    <t>Mobile data</t>
  </si>
  <si>
    <t>Données mobiles</t>
  </si>
  <si>
    <t>Wi-fi</t>
  </si>
  <si>
    <t>lblAI</t>
  </si>
  <si>
    <t>Arteether</t>
  </si>
  <si>
    <t>Artéther</t>
  </si>
  <si>
    <t>Artemotil</t>
  </si>
  <si>
    <t>Artémotil</t>
  </si>
  <si>
    <t>Arterolane</t>
  </si>
  <si>
    <t>Artérolane</t>
  </si>
  <si>
    <t>Atovaquone</t>
  </si>
  <si>
    <t>Chloroproguanil</t>
  </si>
  <si>
    <t>Dapsone</t>
  </si>
  <si>
    <t>Dihydroartemisinin</t>
  </si>
  <si>
    <t>Halofantrine</t>
  </si>
  <si>
    <t>Hydroxychloroquine</t>
  </si>
  <si>
    <t>Lumefantrine</t>
  </si>
  <si>
    <t>Luméfantrine</t>
  </si>
  <si>
    <t>Mefloquine</t>
  </si>
  <si>
    <t>Méfloquine</t>
  </si>
  <si>
    <t>Naphthoquine</t>
  </si>
  <si>
    <t>Piperaquine</t>
  </si>
  <si>
    <t>Pipéraquine</t>
  </si>
  <si>
    <t>Primaquine</t>
  </si>
  <si>
    <t>Proguanil</t>
  </si>
  <si>
    <t>Pyrimethamine</t>
  </si>
  <si>
    <t>Pyriméthamine</t>
  </si>
  <si>
    <t xml:space="preserve">Pyronaridine </t>
  </si>
  <si>
    <t>Quinacrine</t>
  </si>
  <si>
    <t>Sulfadoxine</t>
  </si>
  <si>
    <t>Sulfalene</t>
  </si>
  <si>
    <t>Sulfalène</t>
  </si>
  <si>
    <t>Sulfamethoxazole</t>
  </si>
  <si>
    <t>Sulfaméthoxazole</t>
  </si>
  <si>
    <t>Sulfamethoxypyrazine</t>
  </si>
  <si>
    <t>Sulfaméthoxypyrazine</t>
  </si>
  <si>
    <t>Trimethoprim</t>
  </si>
  <si>
    <t>Triméthoprime</t>
  </si>
  <si>
    <t>Don't Know</t>
  </si>
  <si>
    <t>lblgeneric</t>
  </si>
  <si>
    <t>Artemether-lumefantrine (eg. Coartem, L-Artem)</t>
  </si>
  <si>
    <t>Artéméther-luméfantrine (par ex. Coartem, L-Artem)</t>
  </si>
  <si>
    <t>Artemisinine</t>
  </si>
  <si>
    <t>ACT (Combinaison theurapeutique à base d'artémisinine)</t>
  </si>
  <si>
    <t>Dihydroartemisinine-piperaquine</t>
  </si>
  <si>
    <t>Dihydroartémisinine-pipéraquine</t>
  </si>
  <si>
    <t>Sulfadoxine-pyrimethamine (eg. Fansidar, SP)</t>
  </si>
  <si>
    <t>Sulfadoxine-pyriméthamine (ex. Fansidar, SP)</t>
  </si>
  <si>
    <t>Not an antimalarial</t>
  </si>
  <si>
    <t>Pas un antipaludique</t>
  </si>
  <si>
    <t>lblnoscreen</t>
  </si>
  <si>
    <t>Outlet is permanently closed</t>
  </si>
  <si>
    <t>Le point de vente est définitivement fermé</t>
  </si>
  <si>
    <t>Staff at outlet refused before screening could take place</t>
  </si>
  <si>
    <t>Le personnel du point de vente a refusé de participer avant même la phase de criblage</t>
  </si>
  <si>
    <t>There is no eligible respondent to complete the screening</t>
  </si>
  <si>
    <t>Il n'y a aucun répondant admissible pour compléter le criblage</t>
  </si>
  <si>
    <t>Staff at outlet request we come back later for screening</t>
  </si>
  <si>
    <t>Le personnel du point de vente demande que nous revenions plus tard pour le criblage.</t>
  </si>
  <si>
    <t xml:space="preserve">***Outlet is closed at the time of visit*** </t>
  </si>
  <si>
    <t>***Le point de vente est fermé au moment de la visite***</t>
  </si>
  <si>
    <t>***Outlet has been closed at the time of ALL 3 VISITS and could not be screened***</t>
  </si>
  <si>
    <t>***Le point de vente a été fermé au moment des 3 VISITES et n'a pas pu être criblé***</t>
  </si>
  <si>
    <t>Other reason</t>
  </si>
  <si>
    <t>lblrefuse</t>
  </si>
  <si>
    <t>Client load/ crowded with customers</t>
  </si>
  <si>
    <t>Charge de clients / bondé de clients</t>
  </si>
  <si>
    <t>Thinks it is an inspection or afraid for their permit/ licence</t>
  </si>
  <si>
    <t>Pense qu'il s'agit d'une inspection ou a peur de son permis/licence</t>
  </si>
  <si>
    <t>Not interested</t>
  </si>
  <si>
    <t>Pas intéressé</t>
  </si>
  <si>
    <t>No reason provided</t>
  </si>
  <si>
    <t>Aucune raison fournie</t>
  </si>
  <si>
    <t>lbltechfunction</t>
  </si>
  <si>
    <t>Yes - available AND functioning</t>
  </si>
  <si>
    <t>Oui - disponible ET fonctionnel</t>
  </si>
  <si>
    <t>Available; NOT functioning</t>
  </si>
  <si>
    <t>Disponible mais PAS fonctionnel</t>
  </si>
  <si>
    <t xml:space="preserve">NO - not available </t>
  </si>
  <si>
    <t>NON - non disponible</t>
  </si>
  <si>
    <t>lbltechuse</t>
  </si>
  <si>
    <t>Uses now</t>
  </si>
  <si>
    <t>Utilisations actuelles</t>
  </si>
  <si>
    <t>Not now but wants to</t>
  </si>
  <si>
    <t>Pas maintenant mais plus tard</t>
  </si>
  <si>
    <t>Not now &amp; not interested</t>
  </si>
  <si>
    <t>lblvisit</t>
  </si>
  <si>
    <t>Interview complete</t>
  </si>
  <si>
    <t>Interview complète</t>
  </si>
  <si>
    <t>Interview interrupted (Time not convenient)</t>
  </si>
  <si>
    <t>Interview interrompue (Le moment n'est pas opportun)</t>
  </si>
  <si>
    <t>Interview interrupted (Provider refused to continue)</t>
  </si>
  <si>
    <t>Interview interrompue (le prestataire a refusé de continuer)</t>
  </si>
  <si>
    <t>lblyesno</t>
  </si>
  <si>
    <t>Non</t>
  </si>
  <si>
    <t>lblyesno_d</t>
  </si>
  <si>
    <t>lblyesno_dk</t>
  </si>
  <si>
    <t>lblyesno_dk_r</t>
  </si>
  <si>
    <t>micro_noaudit</t>
  </si>
  <si>
    <t>I confirm malaria microscope screening is NOT available today</t>
  </si>
  <si>
    <t>Je confirme que le dépistage du paludisme au microscope n'est PAS disponible aujourd'hui</t>
  </si>
  <si>
    <t>Daytime (morning to evening)</t>
  </si>
  <si>
    <t>En journée (du matin au soir)</t>
  </si>
  <si>
    <t>Evening only</t>
  </si>
  <si>
    <t>Uniquement le soir</t>
  </si>
  <si>
    <t>24 hours a day</t>
  </si>
  <si>
    <t>24 heures sur 24</t>
  </si>
  <si>
    <t>oui_non</t>
  </si>
  <si>
    <t>packaging</t>
  </si>
  <si>
    <t>Plaquette / carte</t>
  </si>
  <si>
    <t>Plaquette (alvéolée) / carte</t>
  </si>
  <si>
    <t>Individual packet</t>
  </si>
  <si>
    <t>Paquet individuel</t>
  </si>
  <si>
    <t>Loose tablets in a pot, tin, or other container</t>
  </si>
  <si>
    <t>Comprimés en vrac dans un pot, une boîte ou un autre récipient</t>
  </si>
  <si>
    <t>Bottle</t>
  </si>
  <si>
    <t>Bouteille</t>
  </si>
  <si>
    <t>Ampoule or vial</t>
  </si>
  <si>
    <t>Ampoule or flacon</t>
  </si>
  <si>
    <t>Sachet</t>
  </si>
  <si>
    <t>Other packaging type</t>
  </si>
  <si>
    <t>Autre type d'emballage</t>
  </si>
  <si>
    <t>paie</t>
  </si>
  <si>
    <t>Cash</t>
  </si>
  <si>
    <t>Debit/ Credit card</t>
  </si>
  <si>
    <t>Carte de débit/crédit</t>
  </si>
  <si>
    <t>Check</t>
  </si>
  <si>
    <t xml:space="preserve">Chèque </t>
  </si>
  <si>
    <t>parasite</t>
  </si>
  <si>
    <t>Pf</t>
  </si>
  <si>
    <t>Pf/Pan</t>
  </si>
  <si>
    <t>Pf/Pv</t>
  </si>
  <si>
    <t>Pan</t>
  </si>
  <si>
    <t>prix_volat</t>
  </si>
  <si>
    <t>Less stable than the previous year</t>
  </si>
  <si>
    <r>
      <rPr>
        <sz val="10"/>
        <color theme="1"/>
        <rFont val="Arial"/>
        <family val="2"/>
      </rPr>
      <t xml:space="preserve">Moins stable que </t>
    </r>
    <r>
      <rPr>
        <sz val="10"/>
        <color theme="1"/>
        <rFont val="Arial"/>
        <family val="2"/>
      </rPr>
      <t>2022/23</t>
    </r>
  </si>
  <si>
    <t>Unchanged</t>
  </si>
  <si>
    <t>Pas de changement</t>
  </si>
  <si>
    <t>More stable than the previous year</t>
  </si>
  <si>
    <r>
      <rPr>
        <sz val="10"/>
        <color theme="1"/>
        <rFont val="Arial"/>
        <family val="2"/>
      </rPr>
      <t xml:space="preserve">Plus stable que </t>
    </r>
    <r>
      <rPr>
        <sz val="10"/>
        <color theme="1"/>
        <rFont val="Arial"/>
        <family val="2"/>
      </rPr>
      <t>2022/23</t>
    </r>
  </si>
  <si>
    <t>rdt_noaudit</t>
  </si>
  <si>
    <t>I confirm there are NO RDTs present</t>
  </si>
  <si>
    <t>Je confirme qu'il n'y a AUCUN TDR présent/disponible</t>
  </si>
  <si>
    <t>The provider refused to show RDTs present</t>
  </si>
  <si>
    <t>Le prestataire a refusé de montrer les TDR présents/disponibles</t>
  </si>
  <si>
    <t>Someone else on my team has completed or is completing the audit of RDTs here</t>
  </si>
  <si>
    <t>Quelqu'un d'autre dans mon équipe a terminé ou entrain de faire l'audit des TDR ici</t>
  </si>
  <si>
    <t>recept</t>
  </si>
  <si>
    <t>The supplier delivers to you</t>
  </si>
  <si>
    <t>Le fournisseur vous livre</t>
  </si>
  <si>
    <t>You pick up the product from the supplier</t>
  </si>
  <si>
    <t>Vous récupérez le produit chez le fournisseur</t>
  </si>
  <si>
    <t>Both above situations</t>
  </si>
  <si>
    <t>Les deux scénarios ci-dessus</t>
  </si>
  <si>
    <t>recommande</t>
  </si>
  <si>
    <t>Yes, sometimes</t>
  </si>
  <si>
    <t>Oui, parfois</t>
  </si>
  <si>
    <t>Yes, always</t>
  </si>
  <si>
    <t>Oui, toujours</t>
  </si>
  <si>
    <t>No, never</t>
  </si>
  <si>
    <t>Non, jamais</t>
  </si>
  <si>
    <t>Bisulphate</t>
  </si>
  <si>
    <t>Hydrochloride / Chlorohydrate</t>
  </si>
  <si>
    <t xml:space="preserve">Dihydrochloride </t>
  </si>
  <si>
    <t>Gluconate</t>
  </si>
  <si>
    <t>Phosphate</t>
  </si>
  <si>
    <t>Sulphate</t>
  </si>
  <si>
    <t>Tetraphosphate</t>
  </si>
  <si>
    <t>Tétraphosphate</t>
  </si>
  <si>
    <t>suspension</t>
  </si>
  <si>
    <t>Liquid</t>
  </si>
  <si>
    <t>Liquide</t>
  </si>
  <si>
    <t>Powder</t>
  </si>
  <si>
    <t>Poudre</t>
  </si>
  <si>
    <t>vari_prix</t>
  </si>
  <si>
    <t>Generally stable</t>
  </si>
  <si>
    <t>Généralement stable</t>
  </si>
  <si>
    <t>Changed every 6 months</t>
  </si>
  <si>
    <t>Changé tous les 6 mois</t>
  </si>
  <si>
    <t>Changed every 3 months</t>
  </si>
  <si>
    <t>Changé tous les 3 mois</t>
  </si>
  <si>
    <t>Changed every month</t>
  </si>
  <si>
    <t>Changé tous les mois</t>
  </si>
  <si>
    <t>Changed every 2 weeks</t>
  </si>
  <si>
    <t>Changé toutes les 2 semaines</t>
  </si>
  <si>
    <t>Changed every week</t>
  </si>
  <si>
    <t>Changé chaque semaine</t>
  </si>
  <si>
    <t>More frequently</t>
  </si>
  <si>
    <t>Plus fréquemment</t>
  </si>
  <si>
    <t>y_n_dnk</t>
  </si>
  <si>
    <t>y_n_dnk_na</t>
  </si>
  <si>
    <t>form_title</t>
  </si>
  <si>
    <t>form_id</t>
  </si>
  <si>
    <t>instance_name</t>
  </si>
  <si>
    <t>version</t>
  </si>
  <si>
    <t>default_language</t>
  </si>
  <si>
    <t>AwL-Quantitative ODK Form-final</t>
  </si>
  <si>
    <r>
      <rPr>
        <sz val="10"/>
        <color rgb="FFFF0000"/>
        <rFont val="Arial"/>
        <family val="2"/>
      </rPr>
      <t>COUNTRYNAME</t>
    </r>
    <r>
      <rPr>
        <sz val="10"/>
        <color theme="1"/>
        <rFont val="Arial"/>
        <family val="2"/>
      </rPr>
      <t>_</t>
    </r>
    <r>
      <rPr>
        <sz val="10"/>
        <color rgb="FFFF0000"/>
        <rFont val="Arial"/>
        <family val="2"/>
      </rPr>
      <t>YEAR</t>
    </r>
  </si>
  <si>
    <t>concat(${outletid},"--",now(), "final")</t>
  </si>
  <si>
    <t>English</t>
  </si>
  <si>
    <t>We are looking to assess malaria diagnostic capcity; outlet should have microscopes as well as required components for malaria microscopy.</t>
  </si>
  <si>
    <r>
      <t xml:space="preserve">The ACTwatch Lite Quantitative Survey captures core indicators related to the availability, price, and market share of antimalarials and malaria diagnostics across the private health sector. It is designed to be used in ODK-compatible platforms (e.g., SurveyCTO, ODK Collect, KoboToolbox) and provides a streamlined, adaptable format for trained enumerators to capture data with a digital data collection device (e.g., smartphone, tablet) at retail and wholesale outlets
The questionnaire includes modules on outlet screening and eligibility, consent, a provider interview, and product audits. See the Questionnaire Content section of this README for more detail. 
</t>
    </r>
    <r>
      <rPr>
        <b/>
        <sz val="10"/>
        <color theme="1"/>
        <rFont val="Roboto Light"/>
      </rPr>
      <t xml:space="preserve">The content of the questionnaire should be *locally adapted based on the study scope and context* and *tailored to the specific indicators and research questions relevant to this study* </t>
    </r>
    <r>
      <rPr>
        <sz val="10"/>
        <color theme="1"/>
        <rFont val="Roboto Light"/>
      </rPr>
      <t xml:space="preserve">-- that means that sections may be added or removed and certain questions should be reworked to align with country specific context and guidelines. Columns A and B of the survey tab have notes indicating which questions correspond to which indicators and where country-specific edits are required. 
In addition, in some contexts, researchers may want to add questions to address additional questions not captured by the core ACTwatch Lite toolkit questionnaire (e.g. expiration dates on RDTs, specific qualifications of respondents, etc.). If this is the case, researchers should ensure that this tool is updated to reflect any changes. Cleaning and analysis syntax should updated accordingly as well. 
</t>
    </r>
    <r>
      <rPr>
        <b/>
        <sz val="10"/>
        <color theme="1"/>
        <rFont val="Roboto Light"/>
      </rPr>
      <t xml:space="preserve">Further, note that some skip logic settings should be adjusted based on study protocols e.g. edit which questions are asked at informal outlets (the default setting is that the provider module is skipped for informal outlets). 
</t>
    </r>
    <r>
      <rPr>
        <sz val="10"/>
        <color theme="1"/>
        <rFont val="Roboto Light"/>
      </rPr>
      <t xml:space="preserve">
Ensure that the tool matches with your approved protocol and aligns with local research ethics regulations, particularly regarding the collection of GPS coordinates and any other potentially identifying data (dependent on local regulations and approvals).
</t>
    </r>
  </si>
  <si>
    <t>filter</t>
  </si>
  <si>
    <t>EQUIPE 1</t>
  </si>
  <si>
    <t>EQUIPE 2</t>
  </si>
  <si>
    <t>EQUIPE 3</t>
  </si>
  <si>
    <t>EQUIPE 4</t>
  </si>
  <si>
    <t>NOM 1</t>
  </si>
  <si>
    <t>NOM 2</t>
  </si>
  <si>
    <t>NOM 3</t>
  </si>
  <si>
    <t>NOM 4</t>
  </si>
  <si>
    <t>NOM 5</t>
  </si>
  <si>
    <t>NOM 6</t>
  </si>
  <si>
    <t>NOM 7</t>
  </si>
  <si>
    <t>NOM 8</t>
  </si>
  <si>
    <t>NOM 9</t>
  </si>
  <si>
    <t>NOM 10</t>
  </si>
  <si>
    <t>NOM 11</t>
  </si>
  <si>
    <t>NOM 12</t>
  </si>
  <si>
    <t>NOM 13</t>
  </si>
  <si>
    <t>NOM 14</t>
  </si>
  <si>
    <t>NOM 15</t>
  </si>
  <si>
    <t>NOM 16</t>
  </si>
  <si>
    <t>Zone Administrative niveau 1 - Nom A</t>
  </si>
  <si>
    <t>Zone Administrative niveau 1 - Nom C</t>
  </si>
  <si>
    <t>Zone Administrative niveau 1 - Nom B</t>
  </si>
  <si>
    <t>Zone Administrative niveau 2 - Nom 1</t>
  </si>
  <si>
    <t>Zone Administrative niveau 2 - Nom 2</t>
  </si>
  <si>
    <t>Zone Administrative niveau 2 - Nom 3</t>
  </si>
  <si>
    <t>Zone Administrative niveau 2 - Nom 4</t>
  </si>
  <si>
    <t>Zone Administrative niveau 2 - Nom 5</t>
  </si>
  <si>
    <t>Zone Administrative niveau 2 - Nom 6</t>
  </si>
  <si>
    <t>Zone Administrative niveau 2 - Nom 7</t>
  </si>
  <si>
    <t>Zone Administrative niveau 2 - Nom 8</t>
  </si>
  <si>
    <t>Zone Administrative niveau 2 - Nom 9</t>
  </si>
  <si>
    <t>Zone Administrative niveau 2 - Nom 10</t>
  </si>
  <si>
    <t>Zone Administrative niveau 2 - Nom 11</t>
  </si>
  <si>
    <t>Zone Administrative niveau 2 - Nom 12</t>
  </si>
  <si>
    <t>Zone Administrative niveau 2 - Nom 13</t>
  </si>
  <si>
    <t>Zone Administrative niveau 2 - Nom 14</t>
  </si>
  <si>
    <t>Zone Administrative niveau 2 - Nom 15</t>
  </si>
  <si>
    <t>Zone Administrative niveau 2 - Nom 16</t>
  </si>
  <si>
    <t>Zone Administrative niveau 2 - Nom 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</si>
</sst>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9" x14ac:knownFonts="1">
    <font>
      <sz val="10"/>
      <color rgb="FF000000"/>
      <name val="Arial"/>
      <scheme val="minor"/>
    </font>
    <font>
      <sz val="11"/>
      <color theme="1"/>
      <name val="Arial"/>
      <family val="2"/>
      <scheme val="minor"/>
    </font>
    <font>
      <sz val="8"/>
      <color theme="1"/>
      <name val="Calibri"/>
      <family val="2"/>
    </font>
    <font>
      <b/>
      <sz val="14"/>
      <color theme="1"/>
      <name val="Poppins"/>
    </font>
    <font>
      <sz val="10"/>
      <color theme="1"/>
      <name val="Roboto"/>
    </font>
    <font>
      <sz val="8"/>
      <color theme="1"/>
      <name val="Roboto"/>
    </font>
    <font>
      <b/>
      <i/>
      <sz val="14"/>
      <color theme="1"/>
      <name val="Roboto"/>
    </font>
    <font>
      <b/>
      <i/>
      <sz val="14"/>
      <color rgb="FFC00000"/>
      <name val="Roboto"/>
    </font>
    <font>
      <sz val="10"/>
      <color rgb="FFFF0000"/>
      <name val="Roboto"/>
    </font>
    <font>
      <sz val="10"/>
      <color theme="1"/>
      <name val="Arial"/>
      <family val="2"/>
      <scheme val="minor"/>
    </font>
    <font>
      <b/>
      <sz val="10"/>
      <color theme="1"/>
      <name val="Arial"/>
      <family val="2"/>
    </font>
    <font>
      <b/>
      <sz val="12"/>
      <color theme="0"/>
      <name val="Roboto"/>
    </font>
    <font>
      <sz val="10"/>
      <color rgb="FF000000"/>
      <name val="Roboto"/>
    </font>
    <font>
      <sz val="10"/>
      <color rgb="FF7F7F7F"/>
      <name val="Roboto"/>
    </font>
    <font>
      <b/>
      <sz val="12"/>
      <color theme="1"/>
      <name val="Roboto"/>
    </font>
    <font>
      <i/>
      <sz val="10"/>
      <color rgb="FFC00000"/>
      <name val="Roboto"/>
    </font>
    <font>
      <i/>
      <sz val="10"/>
      <color theme="1"/>
      <name val="Roboto"/>
    </font>
    <font>
      <b/>
      <sz val="12"/>
      <color rgb="FF000000"/>
      <name val="Roboto"/>
    </font>
    <font>
      <i/>
      <sz val="10"/>
      <color theme="0"/>
      <name val="Roboto"/>
    </font>
    <font>
      <sz val="10"/>
      <color theme="0"/>
      <name val="Roboto"/>
    </font>
    <font>
      <i/>
      <sz val="10"/>
      <color theme="7"/>
      <name val="Roboto"/>
    </font>
    <font>
      <i/>
      <sz val="10"/>
      <color rgb="FF000000"/>
      <name val="Roboto"/>
    </font>
    <font>
      <i/>
      <sz val="10"/>
      <color rgb="FFFF0000"/>
      <name val="Roboto"/>
    </font>
    <font>
      <b/>
      <sz val="12"/>
      <color rgb="FFFF0000"/>
      <name val="Roboto"/>
    </font>
    <font>
      <b/>
      <sz val="10"/>
      <color theme="1"/>
      <name val="Roboto"/>
    </font>
    <font>
      <sz val="10"/>
      <color rgb="FF00B050"/>
      <name val="Roboto"/>
    </font>
    <font>
      <b/>
      <sz val="10"/>
      <color theme="0"/>
      <name val="Roboto"/>
    </font>
    <font>
      <sz val="10"/>
      <color rgb="FFC00000"/>
      <name val="Roboto"/>
    </font>
    <font>
      <sz val="10"/>
      <color rgb="FFF8F8F8"/>
      <name val="Roboto"/>
    </font>
    <font>
      <sz val="10"/>
      <color theme="7"/>
      <name val="Roboto"/>
    </font>
    <font>
      <b/>
      <i/>
      <sz val="12"/>
      <color rgb="FFC00000"/>
      <name val="Roboto"/>
    </font>
    <font>
      <sz val="11"/>
      <color theme="1"/>
      <name val="Roboto"/>
    </font>
    <font>
      <b/>
      <sz val="10"/>
      <color rgb="FF000000"/>
      <name val="Roboto"/>
    </font>
    <font>
      <sz val="14"/>
      <color theme="1"/>
      <name val="Roboto"/>
    </font>
    <font>
      <b/>
      <sz val="12"/>
      <color rgb="FFF8F8F8"/>
      <name val="Roboto"/>
    </font>
    <font>
      <b/>
      <sz val="10"/>
      <color rgb="FFFF0000"/>
      <name val="Roboto"/>
    </font>
    <font>
      <b/>
      <i/>
      <sz val="10"/>
      <color theme="1"/>
      <name val="Roboto"/>
    </font>
    <font>
      <b/>
      <sz val="10"/>
      <color rgb="FFC00000"/>
      <name val="Roboto"/>
    </font>
    <font>
      <sz val="10"/>
      <color rgb="FFC00000"/>
      <name val="Arial"/>
      <family val="2"/>
    </font>
    <font>
      <sz val="10"/>
      <color theme="1"/>
      <name val="Arial"/>
      <family val="2"/>
    </font>
    <font>
      <sz val="10"/>
      <color rgb="FFFF0000"/>
      <name val="Arial"/>
      <family val="2"/>
    </font>
    <font>
      <b/>
      <sz val="10"/>
      <color rgb="FFFF0000"/>
      <name val="Arial"/>
      <family val="2"/>
    </font>
    <font>
      <sz val="12"/>
      <color rgb="FF333333"/>
      <name val="Arial"/>
      <family val="2"/>
    </font>
    <font>
      <sz val="10"/>
      <color rgb="FFC00000"/>
      <name val="Roboto Light"/>
    </font>
    <font>
      <sz val="10"/>
      <color theme="1"/>
      <name val="Roboto Light"/>
    </font>
    <font>
      <sz val="10"/>
      <color rgb="FF7F7F7F"/>
      <name val="Roboto Light"/>
    </font>
    <font>
      <sz val="10"/>
      <color rgb="FF000000"/>
      <name val="Roboto Light"/>
    </font>
    <font>
      <sz val="8"/>
      <color theme="1"/>
      <name val="Roboto Light"/>
    </font>
    <font>
      <sz val="8"/>
      <color theme="1"/>
      <name val="Arial"/>
      <family val="2"/>
      <scheme val="minor"/>
    </font>
    <font>
      <sz val="10"/>
      <name val="Roboto Light"/>
    </font>
    <font>
      <b/>
      <sz val="14"/>
      <name val="Poppins"/>
    </font>
    <font>
      <sz val="8"/>
      <name val="Roboto Light"/>
    </font>
    <font>
      <i/>
      <sz val="10"/>
      <name val="Roboto Light"/>
    </font>
    <font>
      <b/>
      <sz val="12"/>
      <name val="Roboto"/>
    </font>
    <font>
      <sz val="10"/>
      <name val="Roboto"/>
    </font>
    <font>
      <sz val="12"/>
      <name val="Roboto"/>
    </font>
    <font>
      <sz val="10"/>
      <name val="Arial"/>
      <family val="2"/>
      <scheme val="minor"/>
    </font>
    <font>
      <b/>
      <sz val="10"/>
      <color theme="1"/>
      <name val="Roboto Light"/>
    </font>
    <font>
      <sz val="8"/>
      <name val="Arial"/>
      <family val="2"/>
      <scheme val="minor"/>
    </font>
  </fonts>
  <fills count="14">
    <fill>
      <patternFill patternType="none"/>
    </fill>
    <fill>
      <patternFill patternType="gray125"/>
    </fill>
    <fill>
      <patternFill patternType="solid">
        <fgColor rgb="FFF2F2F2"/>
        <bgColor rgb="FFF2F2F2"/>
      </patternFill>
    </fill>
    <fill>
      <patternFill patternType="solid">
        <fgColor theme="1"/>
        <bgColor theme="1"/>
      </patternFill>
    </fill>
    <fill>
      <patternFill patternType="solid">
        <fgColor rgb="FFD8D8D8"/>
        <bgColor rgb="FFD8D8D8"/>
      </patternFill>
    </fill>
    <fill>
      <patternFill patternType="solid">
        <fgColor rgb="FF000000"/>
        <bgColor rgb="FF000000"/>
      </patternFill>
    </fill>
    <fill>
      <patternFill patternType="solid">
        <fgColor rgb="FF002060"/>
        <bgColor rgb="FF002060"/>
      </patternFill>
    </fill>
    <fill>
      <patternFill patternType="solid">
        <fgColor rgb="FFDFDFDF"/>
        <bgColor rgb="FFDFDFDF"/>
      </patternFill>
    </fill>
    <fill>
      <patternFill patternType="solid">
        <fgColor rgb="FFFFFF00"/>
        <bgColor rgb="FFFFFF00"/>
      </patternFill>
    </fill>
    <fill>
      <patternFill patternType="solid">
        <fgColor rgb="FFFFC000"/>
        <bgColor rgb="FFFFC000"/>
      </patternFill>
    </fill>
    <fill>
      <patternFill patternType="solid">
        <fgColor theme="0" tint="-4.9989318521683403E-2"/>
        <bgColor indexed="64"/>
      </patternFill>
    </fill>
    <fill>
      <patternFill patternType="solid">
        <fgColor theme="0"/>
        <bgColor indexed="64"/>
      </patternFill>
    </fill>
    <fill>
      <patternFill patternType="solid">
        <fgColor theme="0"/>
        <bgColor rgb="FFF2F2F2"/>
      </patternFill>
    </fill>
    <fill>
      <patternFill patternType="solid">
        <fgColor theme="0"/>
        <bgColor theme="1"/>
      </patternFill>
    </fill>
  </fills>
  <borders count="8">
    <border>
      <left/>
      <right/>
      <top/>
      <bottom/>
      <diagonal/>
    </border>
    <border>
      <left/>
      <right/>
      <top/>
      <bottom/>
      <diagonal/>
    </border>
    <border>
      <left style="dotted">
        <color rgb="FF002060"/>
      </left>
      <right/>
      <top/>
      <bottom style="thin">
        <color rgb="FFBFBFBF"/>
      </bottom>
      <diagonal/>
    </border>
    <border>
      <left/>
      <right/>
      <top/>
      <bottom style="thin">
        <color rgb="FFBFBFBF"/>
      </bottom>
      <diagonal/>
    </border>
    <border>
      <left/>
      <right/>
      <top style="thin">
        <color rgb="FFBFBFBF"/>
      </top>
      <bottom style="thin">
        <color rgb="FFBFBFBF"/>
      </bottom>
      <diagonal/>
    </border>
    <border>
      <left style="dotted">
        <color rgb="FF002060"/>
      </left>
      <right/>
      <top style="thin">
        <color rgb="FFBFBFBF"/>
      </top>
      <bottom style="thin">
        <color rgb="FFBFBFBF"/>
      </bottom>
      <diagonal/>
    </border>
    <border>
      <left/>
      <right/>
      <top style="thin">
        <color rgb="FFBFBFBF"/>
      </top>
      <bottom/>
      <diagonal/>
    </border>
    <border>
      <left style="thin">
        <color theme="4"/>
      </left>
      <right style="thin">
        <color theme="4"/>
      </right>
      <top style="thin">
        <color theme="4"/>
      </top>
      <bottom style="thin">
        <color theme="4"/>
      </bottom>
      <diagonal/>
    </border>
  </borders>
  <cellStyleXfs count="2">
    <xf numFmtId="0" fontId="0" fillId="0" borderId="0"/>
    <xf numFmtId="0" fontId="1" fillId="0" borderId="1"/>
  </cellStyleXfs>
  <cellXfs count="164">
    <xf numFmtId="0" fontId="0" fillId="0" borderId="0" xfId="0" applyAlignment="1">
      <alignment vertical="center"/>
    </xf>
    <xf numFmtId="0" fontId="2" fillId="2" borderId="1" xfId="0" applyFont="1" applyFill="1" applyBorder="1" applyAlignment="1">
      <alignment vertical="top"/>
    </xf>
    <xf numFmtId="0" fontId="4" fillId="2" borderId="1" xfId="0" applyFont="1" applyFill="1" applyBorder="1" applyAlignment="1">
      <alignment vertical="top"/>
    </xf>
    <xf numFmtId="0" fontId="5" fillId="2" borderId="1" xfId="0" applyFont="1" applyFill="1" applyBorder="1" applyAlignment="1">
      <alignment vertical="top"/>
    </xf>
    <xf numFmtId="0" fontId="6" fillId="2" borderId="1" xfId="0" applyFont="1" applyFill="1" applyBorder="1" applyAlignment="1">
      <alignment vertical="top"/>
    </xf>
    <xf numFmtId="0" fontId="7" fillId="2" borderId="1" xfId="0" applyFont="1" applyFill="1" applyBorder="1" applyAlignment="1">
      <alignment vertical="top"/>
    </xf>
    <xf numFmtId="0" fontId="9" fillId="0" borderId="0" xfId="0" applyFont="1" applyAlignment="1">
      <alignment vertical="center"/>
    </xf>
    <xf numFmtId="0" fontId="10" fillId="0" borderId="0" xfId="0" applyFont="1" applyAlignment="1">
      <alignment vertical="center"/>
    </xf>
    <xf numFmtId="0" fontId="14" fillId="0" borderId="4" xfId="0" applyFont="1" applyBorder="1" applyAlignment="1">
      <alignment horizontal="left" vertical="top" wrapText="1"/>
    </xf>
    <xf numFmtId="0" fontId="15" fillId="0" borderId="4" xfId="0" applyFont="1" applyBorder="1" applyAlignment="1">
      <alignment horizontal="left" vertical="top" wrapText="1"/>
    </xf>
    <xf numFmtId="0" fontId="12" fillId="0" borderId="4" xfId="0" applyFont="1" applyBorder="1" applyAlignment="1">
      <alignment horizontal="left" vertical="top" wrapText="1"/>
    </xf>
    <xf numFmtId="0" fontId="13" fillId="0" borderId="4" xfId="0" applyFont="1" applyBorder="1" applyAlignment="1">
      <alignment horizontal="left" vertical="top" wrapText="1"/>
    </xf>
    <xf numFmtId="0" fontId="4" fillId="0" borderId="4" xfId="0" applyFont="1" applyBorder="1" applyAlignment="1">
      <alignment horizontal="left" vertical="top" wrapText="1"/>
    </xf>
    <xf numFmtId="0" fontId="16" fillId="0" borderId="4" xfId="0" applyFont="1" applyBorder="1" applyAlignment="1">
      <alignment horizontal="left" vertical="top" wrapText="1"/>
    </xf>
    <xf numFmtId="0" fontId="17" fillId="0" borderId="4" xfId="0" applyFont="1" applyBorder="1" applyAlignment="1">
      <alignment horizontal="left" vertical="top" wrapText="1"/>
    </xf>
    <xf numFmtId="49" fontId="12" fillId="0" borderId="4" xfId="0" applyNumberFormat="1" applyFont="1" applyBorder="1" applyAlignment="1">
      <alignment horizontal="left" vertical="top" wrapText="1"/>
    </xf>
    <xf numFmtId="0" fontId="19" fillId="0" borderId="4" xfId="0" applyFont="1" applyBorder="1" applyAlignment="1">
      <alignment horizontal="left" vertical="top" wrapText="1"/>
    </xf>
    <xf numFmtId="49" fontId="19" fillId="0" borderId="4" xfId="0" applyNumberFormat="1" applyFont="1" applyBorder="1" applyAlignment="1">
      <alignment horizontal="left" vertical="top" wrapText="1"/>
    </xf>
    <xf numFmtId="0" fontId="18" fillId="3" borderId="1" xfId="0" applyFont="1" applyFill="1" applyBorder="1" applyAlignment="1">
      <alignment horizontal="left" vertical="top" wrapText="1"/>
    </xf>
    <xf numFmtId="0" fontId="19" fillId="6" borderId="5" xfId="0" applyFont="1" applyFill="1" applyBorder="1" applyAlignment="1">
      <alignment horizontal="left" vertical="top" wrapText="1"/>
    </xf>
    <xf numFmtId="0" fontId="14" fillId="0" borderId="4" xfId="0" applyFont="1" applyBorder="1" applyAlignment="1">
      <alignment horizontal="center" vertical="top" wrapText="1"/>
    </xf>
    <xf numFmtId="0" fontId="20" fillId="0" borderId="3" xfId="0" applyFont="1" applyBorder="1" applyAlignment="1">
      <alignment horizontal="left" vertical="top" wrapText="1"/>
    </xf>
    <xf numFmtId="0" fontId="21" fillId="0" borderId="4" xfId="0" applyFont="1" applyBorder="1" applyAlignment="1">
      <alignment horizontal="left" vertical="top"/>
    </xf>
    <xf numFmtId="0" fontId="12" fillId="0" borderId="4" xfId="0" applyFont="1" applyBorder="1" applyAlignment="1">
      <alignment horizontal="left" vertical="top"/>
    </xf>
    <xf numFmtId="49" fontId="12" fillId="0" borderId="4" xfId="0" applyNumberFormat="1" applyFont="1" applyBorder="1" applyAlignment="1">
      <alignment horizontal="left" vertical="top"/>
    </xf>
    <xf numFmtId="0" fontId="13" fillId="0" borderId="4" xfId="0" applyFont="1" applyBorder="1" applyAlignment="1">
      <alignment horizontal="left" vertical="top"/>
    </xf>
    <xf numFmtId="0" fontId="4" fillId="0" borderId="4" xfId="0" applyFont="1" applyBorder="1" applyAlignment="1">
      <alignment horizontal="left" vertical="top"/>
    </xf>
    <xf numFmtId="0" fontId="22" fillId="0" borderId="4" xfId="0" applyFont="1" applyBorder="1" applyAlignment="1">
      <alignment horizontal="left" vertical="top" wrapText="1"/>
    </xf>
    <xf numFmtId="0" fontId="23" fillId="0" borderId="4" xfId="0" applyFont="1" applyBorder="1" applyAlignment="1">
      <alignment horizontal="left" vertical="top" wrapText="1"/>
    </xf>
    <xf numFmtId="0" fontId="24" fillId="0" borderId="4" xfId="0" applyFont="1" applyBorder="1" applyAlignment="1">
      <alignment horizontal="left" vertical="top"/>
    </xf>
    <xf numFmtId="0" fontId="4" fillId="0" borderId="4" xfId="0" quotePrefix="1" applyFont="1" applyBorder="1" applyAlignment="1">
      <alignment horizontal="left" vertical="top"/>
    </xf>
    <xf numFmtId="0" fontId="25" fillId="0" borderId="4" xfId="0" applyFont="1" applyBorder="1" applyAlignment="1">
      <alignment horizontal="left" vertical="top" wrapText="1"/>
    </xf>
    <xf numFmtId="0" fontId="11" fillId="0" borderId="4" xfId="0" applyFont="1" applyBorder="1" applyAlignment="1">
      <alignment horizontal="left" vertical="top" wrapText="1"/>
    </xf>
    <xf numFmtId="0" fontId="26" fillId="6" borderId="5" xfId="0" applyFont="1" applyFill="1" applyBorder="1" applyAlignment="1">
      <alignment horizontal="left" vertical="top" wrapText="1"/>
    </xf>
    <xf numFmtId="0" fontId="26" fillId="0" borderId="4" xfId="0" applyFont="1" applyBorder="1" applyAlignment="1">
      <alignment horizontal="left" vertical="top" wrapText="1"/>
    </xf>
    <xf numFmtId="0" fontId="27" fillId="0" borderId="4" xfId="0" applyFont="1" applyBorder="1" applyAlignment="1">
      <alignment horizontal="left" vertical="top" wrapText="1"/>
    </xf>
    <xf numFmtId="0" fontId="24" fillId="0" borderId="4" xfId="0" applyFont="1" applyBorder="1" applyAlignment="1">
      <alignment horizontal="left" vertical="top" wrapText="1"/>
    </xf>
    <xf numFmtId="0" fontId="28" fillId="0" borderId="4" xfId="0" applyFont="1" applyBorder="1" applyAlignment="1">
      <alignment horizontal="left" vertical="top" wrapText="1"/>
    </xf>
    <xf numFmtId="0" fontId="8" fillId="0" borderId="4" xfId="0" applyFont="1" applyBorder="1" applyAlignment="1">
      <alignment horizontal="left" vertical="top" wrapText="1"/>
    </xf>
    <xf numFmtId="0" fontId="14" fillId="7" borderId="1" xfId="0" applyFont="1" applyFill="1" applyBorder="1" applyAlignment="1">
      <alignment vertical="top" wrapText="1"/>
    </xf>
    <xf numFmtId="0" fontId="23" fillId="0" borderId="4" xfId="0" applyFont="1" applyBorder="1" applyAlignment="1">
      <alignment horizontal="center" vertical="top" wrapText="1"/>
    </xf>
    <xf numFmtId="0" fontId="8" fillId="0" borderId="4" xfId="0" applyFont="1" applyBorder="1" applyAlignment="1">
      <alignment horizontal="left" vertical="top"/>
    </xf>
    <xf numFmtId="0" fontId="28" fillId="0" borderId="4" xfId="0" applyFont="1" applyBorder="1" applyAlignment="1">
      <alignment horizontal="left" vertical="top"/>
    </xf>
    <xf numFmtId="0" fontId="15" fillId="0" borderId="0" xfId="0" applyFont="1" applyAlignment="1">
      <alignment horizontal="left" vertical="top" wrapText="1"/>
    </xf>
    <xf numFmtId="0" fontId="4" fillId="0" borderId="0" xfId="0" applyFont="1" applyAlignment="1">
      <alignment horizontal="left" vertical="top" wrapText="1"/>
    </xf>
    <xf numFmtId="49" fontId="12" fillId="0" borderId="0" xfId="0" applyNumberFormat="1" applyFont="1" applyAlignment="1">
      <alignment horizontal="left" vertical="top" wrapText="1"/>
    </xf>
    <xf numFmtId="0" fontId="13" fillId="0" borderId="0" xfId="0" applyFont="1" applyAlignment="1">
      <alignment horizontal="left" vertical="top" wrapText="1"/>
    </xf>
    <xf numFmtId="0" fontId="14" fillId="0" borderId="0" xfId="0" applyFont="1" applyAlignment="1">
      <alignment horizontal="left" vertical="top" wrapText="1"/>
    </xf>
    <xf numFmtId="0" fontId="14" fillId="4" borderId="1" xfId="0" applyFont="1" applyFill="1" applyBorder="1" applyAlignment="1">
      <alignment vertical="top" wrapText="1"/>
    </xf>
    <xf numFmtId="0" fontId="29" fillId="0" borderId="4" xfId="0" applyFont="1" applyBorder="1" applyAlignment="1">
      <alignment horizontal="left" vertical="top" wrapText="1"/>
    </xf>
    <xf numFmtId="0" fontId="30" fillId="0" borderId="4" xfId="0" applyFont="1" applyBorder="1" applyAlignment="1">
      <alignment horizontal="left" vertical="top" wrapText="1"/>
    </xf>
    <xf numFmtId="0" fontId="15" fillId="0" borderId="4" xfId="0" quotePrefix="1" applyFont="1" applyBorder="1" applyAlignment="1">
      <alignment horizontal="left" vertical="top" wrapText="1"/>
    </xf>
    <xf numFmtId="49" fontId="15" fillId="0" borderId="4" xfId="0" applyNumberFormat="1" applyFont="1" applyBorder="1" applyAlignment="1">
      <alignment horizontal="left" vertical="top" wrapText="1"/>
    </xf>
    <xf numFmtId="0" fontId="14" fillId="4" borderId="1" xfId="0" applyFont="1" applyFill="1" applyBorder="1" applyAlignment="1">
      <alignment horizontal="left" vertical="top" wrapText="1"/>
    </xf>
    <xf numFmtId="0" fontId="4" fillId="8" borderId="5" xfId="0" applyFont="1" applyFill="1" applyBorder="1" applyAlignment="1">
      <alignment horizontal="left" vertical="top" wrapText="1"/>
    </xf>
    <xf numFmtId="49" fontId="4" fillId="0" borderId="4" xfId="0" applyNumberFormat="1" applyFont="1" applyBorder="1" applyAlignment="1">
      <alignment horizontal="left" vertical="top" wrapText="1"/>
    </xf>
    <xf numFmtId="0" fontId="12" fillId="7" borderId="5" xfId="0" applyFont="1" applyFill="1" applyBorder="1" applyAlignment="1">
      <alignment horizontal="left" vertical="top" wrapText="1"/>
    </xf>
    <xf numFmtId="0" fontId="14" fillId="4" borderId="6" xfId="0" applyFont="1" applyFill="1" applyBorder="1" applyAlignment="1">
      <alignment horizontal="left" vertical="top" wrapText="1"/>
    </xf>
    <xf numFmtId="0" fontId="31" fillId="0" borderId="4" xfId="0" applyFont="1" applyBorder="1" applyAlignment="1">
      <alignment horizontal="left" vertical="top" wrapText="1"/>
    </xf>
    <xf numFmtId="0" fontId="32" fillId="0" borderId="4" xfId="0" applyFont="1" applyBorder="1" applyAlignment="1">
      <alignment horizontal="left" vertical="top" wrapText="1"/>
    </xf>
    <xf numFmtId="0" fontId="14" fillId="7" borderId="6" xfId="0" applyFont="1" applyFill="1" applyBorder="1" applyAlignment="1">
      <alignment horizontal="left" vertical="top" wrapText="1"/>
    </xf>
    <xf numFmtId="0" fontId="14" fillId="7" borderId="1" xfId="0" applyFont="1" applyFill="1" applyBorder="1" applyAlignment="1">
      <alignment horizontal="left" vertical="top" wrapText="1"/>
    </xf>
    <xf numFmtId="0" fontId="28" fillId="0" borderId="4" xfId="0" applyFont="1" applyBorder="1" applyAlignment="1">
      <alignment horizontal="center" vertical="top"/>
    </xf>
    <xf numFmtId="0" fontId="4" fillId="0" borderId="4" xfId="0" applyFont="1" applyBorder="1" applyAlignment="1">
      <alignment vertical="top" wrapText="1"/>
    </xf>
    <xf numFmtId="0" fontId="8" fillId="0" borderId="4" xfId="0" applyFont="1" applyBorder="1" applyAlignment="1">
      <alignment vertical="top"/>
    </xf>
    <xf numFmtId="0" fontId="33" fillId="0" borderId="4" xfId="0" applyFont="1" applyBorder="1" applyAlignment="1">
      <alignment horizontal="center" vertical="top"/>
    </xf>
    <xf numFmtId="0" fontId="34" fillId="0" borderId="4" xfId="0" applyFont="1" applyBorder="1" applyAlignment="1">
      <alignment horizontal="center" vertical="top" wrapText="1"/>
    </xf>
    <xf numFmtId="49" fontId="4" fillId="0" borderId="4" xfId="0" applyNumberFormat="1" applyFont="1" applyBorder="1" applyAlignment="1">
      <alignment horizontal="left" vertical="top"/>
    </xf>
    <xf numFmtId="0" fontId="31" fillId="0" borderId="4" xfId="0" applyFont="1" applyBorder="1" applyAlignment="1">
      <alignment horizontal="left" vertical="top"/>
    </xf>
    <xf numFmtId="0" fontId="19" fillId="5" borderId="5" xfId="0" applyFont="1" applyFill="1" applyBorder="1" applyAlignment="1">
      <alignment vertical="top" wrapText="1"/>
    </xf>
    <xf numFmtId="0" fontId="13" fillId="0" borderId="4" xfId="0" applyFont="1" applyBorder="1" applyAlignment="1">
      <alignment vertical="top" wrapText="1"/>
    </xf>
    <xf numFmtId="0" fontId="14" fillId="0" borderId="4" xfId="0" applyFont="1" applyBorder="1" applyAlignment="1">
      <alignment horizontal="right" vertical="top" wrapText="1"/>
    </xf>
    <xf numFmtId="0" fontId="35" fillId="0" borderId="4" xfId="0" applyFont="1" applyBorder="1" applyAlignment="1">
      <alignment horizontal="left" vertical="top" wrapText="1"/>
    </xf>
    <xf numFmtId="49" fontId="8" fillId="0" borderId="4" xfId="0" applyNumberFormat="1" applyFont="1" applyBorder="1" applyAlignment="1">
      <alignment horizontal="left" vertical="top" wrapText="1"/>
    </xf>
    <xf numFmtId="0" fontId="19" fillId="6" borderId="5" xfId="0" applyFont="1" applyFill="1" applyBorder="1" applyAlignment="1">
      <alignment horizontal="left" vertical="top"/>
    </xf>
    <xf numFmtId="1" fontId="4" fillId="0" borderId="4" xfId="0" applyNumberFormat="1" applyFont="1" applyBorder="1" applyAlignment="1">
      <alignment horizontal="left" vertical="top" wrapText="1"/>
    </xf>
    <xf numFmtId="1" fontId="4" fillId="0" borderId="4" xfId="0" applyNumberFormat="1" applyFont="1" applyBorder="1" applyAlignment="1">
      <alignment horizontal="left" vertical="top"/>
    </xf>
    <xf numFmtId="0" fontId="36" fillId="0" borderId="4" xfId="0" applyFont="1" applyBorder="1" applyAlignment="1">
      <alignment horizontal="left" vertical="top"/>
    </xf>
    <xf numFmtId="0" fontId="37" fillId="0" borderId="4" xfId="0" applyFont="1" applyBorder="1" applyAlignment="1">
      <alignment horizontal="left" vertical="top" wrapText="1"/>
    </xf>
    <xf numFmtId="0" fontId="4" fillId="6" borderId="5" xfId="0" applyFont="1" applyFill="1" applyBorder="1" applyAlignment="1">
      <alignment horizontal="left" vertical="top"/>
    </xf>
    <xf numFmtId="0" fontId="19" fillId="0" borderId="4" xfId="0" applyFont="1" applyBorder="1" applyAlignment="1">
      <alignment horizontal="left" vertical="top"/>
    </xf>
    <xf numFmtId="1" fontId="12" fillId="0" borderId="4" xfId="0" applyNumberFormat="1" applyFont="1" applyBorder="1" applyAlignment="1">
      <alignment horizontal="left" vertical="top"/>
    </xf>
    <xf numFmtId="0" fontId="15" fillId="0" borderId="4" xfId="0" applyFont="1" applyBorder="1" applyAlignment="1">
      <alignment horizontal="left" vertical="top"/>
    </xf>
    <xf numFmtId="0" fontId="21" fillId="0" borderId="4" xfId="0" applyFont="1" applyBorder="1" applyAlignment="1">
      <alignment horizontal="left" vertical="top" wrapText="1"/>
    </xf>
    <xf numFmtId="0" fontId="38" fillId="0" borderId="0" xfId="0" applyFont="1" applyAlignment="1">
      <alignment vertical="center"/>
    </xf>
    <xf numFmtId="0" fontId="39" fillId="0" borderId="0" xfId="0" applyFont="1"/>
    <xf numFmtId="0" fontId="38" fillId="0" borderId="0" xfId="0" applyFont="1"/>
    <xf numFmtId="0" fontId="40" fillId="0" borderId="0" xfId="0" applyFont="1" applyAlignment="1">
      <alignment vertical="center"/>
    </xf>
    <xf numFmtId="0" fontId="41" fillId="0" borderId="0" xfId="0" applyFont="1" applyAlignment="1">
      <alignment vertical="center"/>
    </xf>
    <xf numFmtId="0" fontId="10" fillId="4" borderId="1" xfId="0" applyFont="1" applyFill="1" applyBorder="1" applyAlignment="1">
      <alignment vertical="center"/>
    </xf>
    <xf numFmtId="0" fontId="42" fillId="0" borderId="0" xfId="0" applyFont="1" applyAlignment="1">
      <alignment vertical="center"/>
    </xf>
    <xf numFmtId="0" fontId="3" fillId="10" borderId="1" xfId="1" applyFont="1" applyFill="1" applyAlignment="1">
      <alignment vertical="top" wrapText="1"/>
    </xf>
    <xf numFmtId="0" fontId="44" fillId="10" borderId="1" xfId="1" applyFont="1" applyFill="1" applyAlignment="1">
      <alignment vertical="top"/>
    </xf>
    <xf numFmtId="0" fontId="47" fillId="10" borderId="1" xfId="1" applyFont="1" applyFill="1" applyAlignment="1">
      <alignment vertical="top"/>
    </xf>
    <xf numFmtId="0" fontId="3" fillId="10" borderId="1" xfId="1" applyFont="1" applyFill="1" applyAlignment="1">
      <alignment vertical="top"/>
    </xf>
    <xf numFmtId="0" fontId="6" fillId="10" borderId="1" xfId="1" applyFont="1" applyFill="1" applyAlignment="1">
      <alignment vertical="top"/>
    </xf>
    <xf numFmtId="0" fontId="44" fillId="10" borderId="1" xfId="1" applyFont="1" applyFill="1" applyAlignment="1">
      <alignment vertical="top" wrapText="1"/>
    </xf>
    <xf numFmtId="0" fontId="3" fillId="0" borderId="1" xfId="1" applyFont="1" applyAlignment="1">
      <alignment vertical="top" wrapText="1"/>
    </xf>
    <xf numFmtId="0" fontId="44" fillId="0" borderId="1" xfId="1" applyFont="1" applyAlignment="1">
      <alignment vertical="top" wrapText="1"/>
    </xf>
    <xf numFmtId="0" fontId="3" fillId="11" borderId="1" xfId="1" applyFont="1" applyFill="1" applyAlignment="1">
      <alignment vertical="top" wrapText="1"/>
    </xf>
    <xf numFmtId="0" fontId="44" fillId="0" borderId="1" xfId="1" applyFont="1" applyAlignment="1">
      <alignment horizontal="left" vertical="top" wrapText="1"/>
    </xf>
    <xf numFmtId="0" fontId="44" fillId="11" borderId="1" xfId="1" applyFont="1" applyFill="1" applyAlignment="1">
      <alignment horizontal="left" vertical="top"/>
    </xf>
    <xf numFmtId="0" fontId="48" fillId="10" borderId="1" xfId="1" applyFont="1" applyFill="1" applyAlignment="1">
      <alignment vertical="top"/>
    </xf>
    <xf numFmtId="0" fontId="50" fillId="11" borderId="1" xfId="1" applyFont="1" applyFill="1" applyAlignment="1">
      <alignment vertical="top" wrapText="1"/>
    </xf>
    <xf numFmtId="0" fontId="49" fillId="11" borderId="1" xfId="1" applyFont="1" applyFill="1" applyAlignment="1">
      <alignment vertical="top" wrapText="1"/>
    </xf>
    <xf numFmtId="0" fontId="50" fillId="12" borderId="1" xfId="0" applyFont="1" applyFill="1" applyBorder="1" applyAlignment="1">
      <alignment vertical="top" wrapText="1"/>
    </xf>
    <xf numFmtId="0" fontId="51" fillId="11" borderId="1" xfId="1" applyFont="1" applyFill="1" applyAlignment="1">
      <alignment vertical="top"/>
    </xf>
    <xf numFmtId="0" fontId="56" fillId="0" borderId="0" xfId="0" applyFont="1" applyAlignment="1">
      <alignment vertical="center"/>
    </xf>
    <xf numFmtId="0" fontId="54" fillId="4" borderId="2" xfId="0" applyFont="1" applyFill="1" applyBorder="1" applyAlignment="1">
      <alignment vertical="top" wrapText="1"/>
    </xf>
    <xf numFmtId="0" fontId="55" fillId="0" borderId="3" xfId="0" applyFont="1" applyBorder="1" applyAlignment="1">
      <alignment vertical="top" wrapText="1"/>
    </xf>
    <xf numFmtId="0" fontId="0" fillId="0" borderId="0" xfId="0" applyAlignment="1">
      <alignment vertical="center" wrapText="1"/>
    </xf>
    <xf numFmtId="0" fontId="53" fillId="3" borderId="3" xfId="0" applyFont="1" applyFill="1" applyBorder="1" applyAlignment="1">
      <alignment vertical="top" wrapText="1"/>
    </xf>
    <xf numFmtId="0" fontId="54" fillId="4" borderId="3" xfId="0" applyFont="1" applyFill="1" applyBorder="1" applyAlignment="1">
      <alignment vertical="top" wrapText="1"/>
    </xf>
    <xf numFmtId="49" fontId="54" fillId="4" borderId="3" xfId="0" applyNumberFormat="1" applyFont="1" applyFill="1" applyBorder="1" applyAlignment="1">
      <alignment vertical="top" wrapText="1"/>
    </xf>
    <xf numFmtId="0" fontId="12" fillId="0" borderId="5" xfId="0" applyFont="1" applyBorder="1" applyAlignment="1">
      <alignment horizontal="left" vertical="top" wrapText="1"/>
    </xf>
    <xf numFmtId="0" fontId="11" fillId="5" borderId="4" xfId="0" applyFont="1" applyFill="1" applyBorder="1" applyAlignment="1">
      <alignment horizontal="left" vertical="top" wrapText="1"/>
    </xf>
    <xf numFmtId="0" fontId="18" fillId="3" borderId="4" xfId="0" applyFont="1" applyFill="1" applyBorder="1" applyAlignment="1">
      <alignment horizontal="left" vertical="top" wrapText="1"/>
    </xf>
    <xf numFmtId="0" fontId="19" fillId="0" borderId="5" xfId="0" applyFont="1" applyBorder="1" applyAlignment="1">
      <alignment vertical="top" wrapText="1"/>
    </xf>
    <xf numFmtId="0" fontId="12" fillId="0" borderId="6" xfId="0" applyFont="1" applyBorder="1" applyAlignment="1">
      <alignment horizontal="left" vertical="top" wrapText="1"/>
    </xf>
    <xf numFmtId="0" fontId="11" fillId="3" borderId="4" xfId="0" applyFont="1" applyFill="1" applyBorder="1" applyAlignment="1">
      <alignment horizontal="left" vertical="top" wrapText="1"/>
    </xf>
    <xf numFmtId="0" fontId="19" fillId="6" borderId="4" xfId="0" applyFont="1" applyFill="1" applyBorder="1" applyAlignment="1">
      <alignment horizontal="left" vertical="top" wrapText="1"/>
    </xf>
    <xf numFmtId="49" fontId="19" fillId="6" borderId="4" xfId="0" applyNumberFormat="1" applyFont="1" applyFill="1" applyBorder="1" applyAlignment="1">
      <alignment horizontal="left" vertical="top" wrapText="1"/>
    </xf>
    <xf numFmtId="0" fontId="11" fillId="6" borderId="4" xfId="0" applyFont="1" applyFill="1" applyBorder="1" applyAlignment="1">
      <alignment horizontal="left" vertical="top" wrapText="1"/>
    </xf>
    <xf numFmtId="0" fontId="4" fillId="0" borderId="5" xfId="0" applyFont="1" applyBorder="1" applyAlignment="1">
      <alignment horizontal="left" vertical="top" wrapText="1"/>
    </xf>
    <xf numFmtId="0" fontId="12" fillId="0" borderId="5" xfId="0" applyFont="1" applyBorder="1" applyAlignment="1">
      <alignment horizontal="left" vertical="top"/>
    </xf>
    <xf numFmtId="0" fontId="4" fillId="0" borderId="5" xfId="0" applyFont="1" applyBorder="1" applyAlignment="1">
      <alignment horizontal="left" vertical="top"/>
    </xf>
    <xf numFmtId="0" fontId="26" fillId="6" borderId="4" xfId="0" applyFont="1" applyFill="1" applyBorder="1" applyAlignment="1">
      <alignment horizontal="left" vertical="top" wrapText="1"/>
    </xf>
    <xf numFmtId="49" fontId="26" fillId="6" borderId="4" xfId="0" applyNumberFormat="1" applyFont="1" applyFill="1" applyBorder="1" applyAlignment="1">
      <alignment horizontal="left" vertical="top" wrapText="1"/>
    </xf>
    <xf numFmtId="0" fontId="12" fillId="0" borderId="5" xfId="0" applyFont="1" applyBorder="1" applyAlignment="1">
      <alignment vertical="top" wrapText="1"/>
    </xf>
    <xf numFmtId="0" fontId="15" fillId="0" borderId="5" xfId="0" applyFont="1" applyBorder="1" applyAlignment="1">
      <alignment horizontal="left" vertical="top" wrapText="1"/>
    </xf>
    <xf numFmtId="0" fontId="4" fillId="8" borderId="4" xfId="0" applyFont="1" applyFill="1" applyBorder="1" applyAlignment="1">
      <alignment horizontal="left" vertical="top" wrapText="1"/>
    </xf>
    <xf numFmtId="0" fontId="14" fillId="4" borderId="3" xfId="0" applyFont="1" applyFill="1" applyBorder="1" applyAlignment="1">
      <alignment horizontal="left" vertical="top" wrapText="1"/>
    </xf>
    <xf numFmtId="0" fontId="12" fillId="7" borderId="4" xfId="0" applyFont="1" applyFill="1" applyBorder="1" applyAlignment="1">
      <alignment horizontal="left" vertical="top" wrapText="1"/>
    </xf>
    <xf numFmtId="49" fontId="12" fillId="7" borderId="4" xfId="0" applyNumberFormat="1" applyFont="1" applyFill="1" applyBorder="1" applyAlignment="1">
      <alignment horizontal="left" vertical="top" wrapText="1"/>
    </xf>
    <xf numFmtId="0" fontId="13" fillId="7" borderId="4" xfId="0" applyFont="1" applyFill="1" applyBorder="1" applyAlignment="1">
      <alignment horizontal="left" vertical="top" wrapText="1"/>
    </xf>
    <xf numFmtId="0" fontId="22" fillId="8" borderId="4" xfId="0" applyFont="1" applyFill="1" applyBorder="1" applyAlignment="1">
      <alignment horizontal="left" vertical="top" wrapText="1"/>
    </xf>
    <xf numFmtId="0" fontId="14" fillId="7" borderId="3" xfId="0" applyFont="1" applyFill="1" applyBorder="1" applyAlignment="1">
      <alignment horizontal="left" vertical="top" wrapText="1"/>
    </xf>
    <xf numFmtId="0" fontId="14" fillId="9" borderId="4" xfId="0" applyFont="1" applyFill="1" applyBorder="1" applyAlignment="1">
      <alignment horizontal="left" vertical="top" wrapText="1"/>
    </xf>
    <xf numFmtId="0" fontId="16" fillId="8" borderId="4" xfId="0" applyFont="1" applyFill="1" applyBorder="1" applyAlignment="1">
      <alignment horizontal="left" vertical="top" wrapText="1"/>
    </xf>
    <xf numFmtId="49" fontId="11" fillId="6" borderId="4" xfId="0" applyNumberFormat="1" applyFont="1" applyFill="1" applyBorder="1" applyAlignment="1">
      <alignment horizontal="left" vertical="top" wrapText="1"/>
    </xf>
    <xf numFmtId="0" fontId="19" fillId="3" borderId="4" xfId="0" applyFont="1" applyFill="1" applyBorder="1" applyAlignment="1">
      <alignment horizontal="left" vertical="top" wrapText="1"/>
    </xf>
    <xf numFmtId="0" fontId="19" fillId="5" borderId="4" xfId="0" applyFont="1" applyFill="1" applyBorder="1" applyAlignment="1">
      <alignment horizontal="left" vertical="top" wrapText="1"/>
    </xf>
    <xf numFmtId="0" fontId="8" fillId="0" borderId="5" xfId="0" applyFont="1" applyBorder="1" applyAlignment="1">
      <alignment horizontal="left" vertical="top" wrapText="1"/>
    </xf>
    <xf numFmtId="49" fontId="4" fillId="8" borderId="4" xfId="0" applyNumberFormat="1" applyFont="1" applyFill="1" applyBorder="1" applyAlignment="1">
      <alignment horizontal="left" vertical="top" wrapText="1"/>
    </xf>
    <xf numFmtId="0" fontId="24" fillId="8" borderId="4" xfId="0" applyFont="1" applyFill="1" applyBorder="1" applyAlignment="1">
      <alignment horizontal="left" vertical="top" wrapText="1"/>
    </xf>
    <xf numFmtId="49" fontId="19" fillId="6" borderId="4" xfId="0" applyNumberFormat="1" applyFont="1" applyFill="1" applyBorder="1" applyAlignment="1">
      <alignment horizontal="left" vertical="top"/>
    </xf>
    <xf numFmtId="0" fontId="19" fillId="6" borderId="4" xfId="0" applyFont="1" applyFill="1" applyBorder="1" applyAlignment="1">
      <alignment horizontal="left" vertical="top"/>
    </xf>
    <xf numFmtId="49" fontId="19" fillId="5" borderId="4" xfId="0" applyNumberFormat="1" applyFont="1" applyFill="1" applyBorder="1" applyAlignment="1">
      <alignment horizontal="left" vertical="top" wrapText="1"/>
    </xf>
    <xf numFmtId="0" fontId="4" fillId="8" borderId="4" xfId="0" applyFont="1" applyFill="1" applyBorder="1" applyAlignment="1">
      <alignment horizontal="left" vertical="top"/>
    </xf>
    <xf numFmtId="49" fontId="4" fillId="6" borderId="4" xfId="0" applyNumberFormat="1" applyFont="1" applyFill="1" applyBorder="1" applyAlignment="1">
      <alignment horizontal="left" vertical="top"/>
    </xf>
    <xf numFmtId="0" fontId="4" fillId="6" borderId="4" xfId="0" applyFont="1" applyFill="1" applyBorder="1" applyAlignment="1">
      <alignment horizontal="left" vertical="top" wrapText="1"/>
    </xf>
    <xf numFmtId="0" fontId="4" fillId="6" borderId="4" xfId="0" applyFont="1" applyFill="1" applyBorder="1" applyAlignment="1">
      <alignment horizontal="left" vertical="top"/>
    </xf>
    <xf numFmtId="0" fontId="8" fillId="0" borderId="5" xfId="0" applyFont="1" applyBorder="1" applyAlignment="1">
      <alignment vertical="top" wrapText="1"/>
    </xf>
    <xf numFmtId="0" fontId="19" fillId="3" borderId="4" xfId="0" applyFont="1" applyFill="1" applyBorder="1" applyAlignment="1">
      <alignment horizontal="left" vertical="top"/>
    </xf>
    <xf numFmtId="0" fontId="44" fillId="10" borderId="1" xfId="1" applyFont="1" applyFill="1" applyAlignment="1">
      <alignment horizontal="left" vertical="top" wrapText="1"/>
    </xf>
    <xf numFmtId="0" fontId="54" fillId="13" borderId="7" xfId="0" applyFont="1" applyFill="1" applyBorder="1" applyAlignment="1">
      <alignment horizontal="left" vertical="top" wrapText="1"/>
    </xf>
    <xf numFmtId="0" fontId="52" fillId="13" borderId="7" xfId="0" applyFont="1" applyFill="1" applyBorder="1" applyAlignment="1">
      <alignment horizontal="left" vertical="top" wrapText="1"/>
    </xf>
    <xf numFmtId="0" fontId="49" fillId="11" borderId="1" xfId="1" applyFont="1" applyFill="1" applyAlignment="1">
      <alignment vertical="top" wrapText="1"/>
    </xf>
    <xf numFmtId="0" fontId="44" fillId="11" borderId="1" xfId="1" applyFont="1" applyFill="1" applyAlignment="1">
      <alignment horizontal="left" vertical="top" wrapText="1"/>
    </xf>
    <xf numFmtId="0" fontId="44" fillId="10" borderId="1" xfId="1" applyFont="1" applyFill="1" applyAlignment="1">
      <alignment vertical="top"/>
    </xf>
    <xf numFmtId="0" fontId="44" fillId="10" borderId="1" xfId="1" applyFont="1" applyFill="1" applyAlignment="1">
      <alignment vertical="top" wrapText="1"/>
    </xf>
    <xf numFmtId="0" fontId="44" fillId="0" borderId="1" xfId="1" applyFont="1" applyAlignment="1">
      <alignment horizontal="left" vertical="top" wrapText="1"/>
    </xf>
    <xf numFmtId="0" fontId="44" fillId="0" borderId="1" xfId="1" applyFont="1" applyAlignment="1">
      <alignment vertical="top" wrapText="1"/>
    </xf>
    <xf numFmtId="0" fontId="11" fillId="3" borderId="1" xfId="0" applyFont="1" applyFill="1" applyBorder="1" applyAlignment="1">
      <alignment horizontal="left" vertical="top" wrapText="1"/>
    </xf>
  </cellXfs>
  <cellStyles count="2">
    <cellStyle name="Normal" xfId="0" builtinId="0"/>
    <cellStyle name="Normal 2" xfId="1" xr:uid="{73B4D6C9-44D5-4AFB-8FDB-D3974D505633}"/>
  </cellStyles>
  <dxfs count="1870">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9E004F"/>
          <bgColor rgb="FF9E004F"/>
        </patternFill>
      </fill>
    </dxf>
    <dxf>
      <fill>
        <patternFill patternType="solid">
          <fgColor rgb="FFBFBFBF"/>
          <bgColor rgb="FFBFBFBF"/>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BFBFBF"/>
          <bgColor rgb="FFBFBFBF"/>
        </patternFill>
      </fill>
    </dxf>
    <dxf>
      <fill>
        <patternFill patternType="solid">
          <fgColor rgb="FFDCC97A"/>
          <bgColor rgb="FFDCC97A"/>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9E004F"/>
          <bgColor rgb="FF9E004F"/>
        </patternFill>
      </fill>
    </dxf>
    <dxf>
      <fill>
        <patternFill patternType="solid">
          <fgColor rgb="FFBFBFBF"/>
          <bgColor rgb="FFBFBFBF"/>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D4D4D4"/>
          <bgColor rgb="FFD4D4D4"/>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F1F1F1"/>
          <bgColor rgb="FFF1F1F1"/>
        </patternFill>
      </fill>
    </dxf>
    <dxf>
      <fill>
        <patternFill patternType="solid">
          <fgColor rgb="FF4685D2"/>
          <bgColor rgb="FF4685D2"/>
        </patternFill>
      </fill>
    </dxf>
    <dxf>
      <fill>
        <patternFill patternType="solid">
          <fgColor rgb="FFBABABA"/>
          <bgColor rgb="FFBABABA"/>
        </patternFill>
      </fill>
    </dxf>
    <dxf>
      <fill>
        <patternFill patternType="solid">
          <fgColor rgb="FFE4E300"/>
          <bgColor rgb="FFE4E300"/>
        </patternFill>
      </fill>
    </dxf>
    <dxf>
      <fill>
        <patternFill patternType="solid">
          <fgColor rgb="FFB2B2B2"/>
          <bgColor rgb="FFB2B2B2"/>
        </patternFill>
      </fill>
    </dxf>
    <dxf>
      <fill>
        <patternFill patternType="solid">
          <fgColor rgb="FF9E004F"/>
          <bgColor rgb="FF9E004F"/>
        </patternFill>
      </fill>
    </dxf>
    <dxf>
      <fill>
        <patternFill patternType="solid">
          <fgColor rgb="FF949494"/>
          <bgColor rgb="FF949494"/>
        </patternFill>
      </fill>
    </dxf>
    <dxf>
      <fill>
        <patternFill patternType="solid">
          <fgColor rgb="FFFF9900"/>
          <bgColor rgb="FFFF9900"/>
        </patternFill>
      </fill>
    </dxf>
    <dxf>
      <fill>
        <patternFill patternType="solid">
          <fgColor rgb="FFFF0000"/>
          <bgColor rgb="FFFF0000"/>
        </patternFill>
      </fill>
    </dxf>
    <dxf>
      <fill>
        <patternFill patternType="solid">
          <fgColor rgb="FFF2F2F2"/>
          <bgColor rgb="FFF2F2F2"/>
        </patternFill>
      </fill>
    </dxf>
    <dxf>
      <fill>
        <patternFill patternType="solid">
          <fgColor rgb="FFBFBFBF"/>
          <bgColor rgb="FFBFBFBF"/>
        </patternFill>
      </fill>
    </dxf>
    <dxf>
      <fill>
        <patternFill patternType="solid">
          <fgColor rgb="FFE1AAA9"/>
          <bgColor rgb="FFE1AAA9"/>
        </patternFill>
      </fill>
    </dxf>
    <dxf>
      <fill>
        <patternFill patternType="solid">
          <fgColor rgb="FF9E004F"/>
          <bgColor rgb="FF9E004F"/>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FF9900"/>
          <bgColor rgb="FFFF9900"/>
        </patternFill>
      </fill>
    </dxf>
    <dxf>
      <fill>
        <patternFill patternType="solid">
          <fgColor rgb="FFFF0000"/>
          <bgColor rgb="FFFF0000"/>
        </patternFill>
      </fill>
    </dxf>
    <dxf>
      <fill>
        <patternFill patternType="solid">
          <fgColor rgb="FF9E004F"/>
          <bgColor rgb="FF9E004F"/>
        </patternFill>
      </fill>
    </dxf>
    <dxf>
      <fill>
        <patternFill patternType="solid">
          <fgColor rgb="FFFF9900"/>
          <bgColor rgb="FFFF9900"/>
        </patternFill>
      </fill>
    </dxf>
    <dxf>
      <fill>
        <patternFill patternType="solid">
          <fgColor rgb="FF949494"/>
          <bgColor rgb="FF949494"/>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BABABA"/>
          <bgColor rgb="FFBABABA"/>
        </patternFill>
      </fill>
    </dxf>
    <dxf>
      <fill>
        <patternFill patternType="solid">
          <fgColor rgb="FFB2B2B2"/>
          <bgColor rgb="FFB2B2B2"/>
        </patternFill>
      </fill>
    </dxf>
    <dxf>
      <fill>
        <patternFill patternType="solid">
          <fgColor rgb="FF949494"/>
          <bgColor rgb="FF949494"/>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F9900"/>
          <bgColor rgb="FFFF9900"/>
        </patternFill>
      </fill>
    </dxf>
    <dxf>
      <fill>
        <patternFill patternType="solid">
          <fgColor rgb="FFF1F1F1"/>
          <bgColor rgb="FFF1F1F1"/>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0000"/>
          <bgColor rgb="FFFF0000"/>
        </patternFill>
      </fill>
    </dxf>
    <dxf>
      <fill>
        <patternFill patternType="solid">
          <fgColor rgb="FFB2B2B2"/>
          <bgColor rgb="FFB2B2B2"/>
        </patternFill>
      </fill>
    </dxf>
    <dxf>
      <fill>
        <patternFill patternType="solid">
          <fgColor rgb="FFE1AAA9"/>
          <bgColor rgb="FFE1AAA9"/>
        </patternFill>
      </fill>
    </dxf>
    <dxf>
      <fill>
        <patternFill patternType="solid">
          <fgColor rgb="FFE4E300"/>
          <bgColor rgb="FFE4E300"/>
        </patternFill>
      </fill>
    </dxf>
    <dxf>
      <fill>
        <patternFill patternType="solid">
          <fgColor rgb="FFB2B2B2"/>
          <bgColor rgb="FFB2B2B2"/>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4685D2"/>
          <bgColor rgb="FF4685D2"/>
        </patternFill>
      </fill>
    </dxf>
    <dxf>
      <fill>
        <patternFill patternType="solid">
          <fgColor rgb="FFF2F2F2"/>
          <bgColor rgb="FFF2F2F2"/>
        </patternFill>
      </fill>
    </dxf>
    <dxf>
      <fill>
        <patternFill patternType="solid">
          <fgColor rgb="FFFF0000"/>
          <bgColor rgb="FFFF0000"/>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9E004F"/>
          <bgColor rgb="FF9E004F"/>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4685D2"/>
          <bgColor rgb="FF4685D2"/>
        </patternFill>
      </fill>
    </dxf>
    <dxf>
      <fill>
        <patternFill patternType="solid">
          <fgColor rgb="FFF2F2F2"/>
          <bgColor rgb="FFF2F2F2"/>
        </patternFill>
      </fill>
    </dxf>
    <dxf>
      <fill>
        <patternFill patternType="solid">
          <fgColor rgb="FFFF0000"/>
          <bgColor rgb="FFFF0000"/>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1F1F1"/>
          <bgColor rgb="FFF1F1F1"/>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B2B2B2"/>
          <bgColor rgb="FFB2B2B2"/>
        </patternFill>
      </fill>
    </dxf>
    <dxf>
      <fill>
        <patternFill patternType="solid">
          <fgColor rgb="FFBABABA"/>
          <bgColor rgb="FFBABABA"/>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FF0000"/>
          <bgColor rgb="FFFF0000"/>
        </patternFill>
      </fill>
    </dxf>
    <dxf>
      <fill>
        <patternFill patternType="solid">
          <fgColor rgb="FFBFBFBF"/>
          <bgColor rgb="FFBFBFBF"/>
        </patternFill>
      </fill>
    </dxf>
    <dxf>
      <fill>
        <patternFill patternType="solid">
          <fgColor rgb="FFBABABA"/>
          <bgColor rgb="FFBABABA"/>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DCC97A"/>
          <bgColor rgb="FFDCC97A"/>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B2B2B2"/>
          <bgColor rgb="FFB2B2B2"/>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2B2B2"/>
          <bgColor rgb="FFB2B2B2"/>
        </patternFill>
      </fill>
    </dxf>
    <dxf>
      <fill>
        <patternFill patternType="solid">
          <fgColor rgb="FF9E004F"/>
          <bgColor rgb="FF9E004F"/>
        </patternFill>
      </fill>
    </dxf>
    <dxf>
      <fill>
        <patternFill patternType="solid">
          <fgColor rgb="FFBFBFBF"/>
          <bgColor rgb="FFBFBFBF"/>
        </patternFill>
      </fill>
    </dxf>
    <dxf>
      <fill>
        <patternFill patternType="solid">
          <fgColor rgb="FFD4D4D4"/>
          <bgColor rgb="FFD4D4D4"/>
        </patternFill>
      </fill>
    </dxf>
    <dxf>
      <fill>
        <patternFill patternType="solid">
          <fgColor rgb="FFFF0000"/>
          <bgColor rgb="FFFF0000"/>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E4E300"/>
          <bgColor rgb="FFE4E300"/>
        </patternFill>
      </fill>
    </dxf>
    <dxf>
      <fill>
        <patternFill patternType="solid">
          <fgColor rgb="FF9E004F"/>
          <bgColor rgb="FF9E004F"/>
        </patternFill>
      </fill>
    </dxf>
    <dxf>
      <fill>
        <patternFill patternType="solid">
          <fgColor rgb="FFBFBFBF"/>
          <bgColor rgb="FFBFBFBF"/>
        </patternFill>
      </fill>
    </dxf>
    <dxf>
      <fill>
        <patternFill patternType="solid">
          <fgColor rgb="FFF2F2F2"/>
          <bgColor rgb="FFF2F2F2"/>
        </patternFill>
      </fill>
    </dxf>
    <dxf>
      <fill>
        <patternFill patternType="solid">
          <fgColor rgb="FFBABABA"/>
          <bgColor rgb="FFBABABA"/>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2F2F2"/>
          <bgColor rgb="FFF2F2F2"/>
        </patternFill>
      </fill>
    </dxf>
    <dxf>
      <fill>
        <patternFill patternType="solid">
          <fgColor rgb="FFFF0000"/>
          <bgColor rgb="FFFF00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FF9900"/>
          <bgColor rgb="FFFF9900"/>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E1AAA9"/>
          <bgColor rgb="FFE1AAA9"/>
        </patternFill>
      </fill>
    </dxf>
    <dxf>
      <fill>
        <patternFill patternType="solid">
          <fgColor rgb="FFBFBFBF"/>
          <bgColor rgb="FFBFBFBF"/>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BFBFBF"/>
          <bgColor rgb="FFBFBFBF"/>
        </patternFill>
      </fill>
    </dxf>
    <dxf>
      <fill>
        <patternFill patternType="solid">
          <fgColor rgb="FFDCC97A"/>
          <bgColor rgb="FFDCC97A"/>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BABABA"/>
          <bgColor rgb="FFBABABA"/>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EEB400"/>
          <bgColor rgb="FFEEB400"/>
        </patternFill>
      </fill>
    </dxf>
    <dxf>
      <fill>
        <patternFill patternType="solid">
          <fgColor rgb="FFDCC97A"/>
          <bgColor rgb="FFDCC97A"/>
        </patternFill>
      </fill>
    </dxf>
    <dxf>
      <fill>
        <patternFill patternType="solid">
          <fgColor rgb="FFBFBFBF"/>
          <bgColor rgb="FFBFBFBF"/>
        </patternFill>
      </fill>
    </dxf>
    <dxf>
      <fill>
        <patternFill patternType="solid">
          <fgColor rgb="FF9E004F"/>
          <bgColor rgb="FF9E004F"/>
        </patternFill>
      </fill>
    </dxf>
    <dxf>
      <fill>
        <patternFill patternType="solid">
          <fgColor rgb="FFBFBFBF"/>
          <bgColor rgb="FFBFBFBF"/>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BFBFBF"/>
          <bgColor rgb="FFBFBFBF"/>
        </patternFill>
      </fill>
    </dxf>
    <dxf>
      <fill>
        <patternFill patternType="solid">
          <fgColor rgb="FFDCC97A"/>
          <bgColor rgb="FFDCC97A"/>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E4E300"/>
          <bgColor rgb="FFE4E300"/>
        </patternFill>
      </fill>
    </dxf>
    <dxf>
      <fill>
        <patternFill patternType="solid">
          <fgColor rgb="FF4685D2"/>
          <bgColor rgb="FF4685D2"/>
        </patternFill>
      </fill>
    </dxf>
    <dxf>
      <fill>
        <patternFill patternType="solid">
          <fgColor rgb="FFF1F1F1"/>
          <bgColor rgb="FFF1F1F1"/>
        </patternFill>
      </fill>
    </dxf>
    <dxf>
      <fill>
        <patternFill patternType="solid">
          <fgColor rgb="FFDCC97A"/>
          <bgColor rgb="FFDCC97A"/>
        </patternFill>
      </fill>
    </dxf>
    <dxf>
      <fill>
        <patternFill patternType="solid">
          <fgColor rgb="FFBFBFBF"/>
          <bgColor rgb="FFBFBFB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4E300"/>
          <bgColor rgb="FFE4E300"/>
        </patternFill>
      </fill>
    </dxf>
    <dxf>
      <fill>
        <patternFill patternType="solid">
          <fgColor rgb="FFB2B2B2"/>
          <bgColor rgb="FFB2B2B2"/>
        </patternFill>
      </fill>
    </dxf>
    <dxf>
      <fill>
        <patternFill patternType="solid">
          <fgColor rgb="FF9E004F"/>
          <bgColor rgb="FF9E004F"/>
        </patternFill>
      </fill>
    </dxf>
    <dxf>
      <fill>
        <patternFill patternType="solid">
          <fgColor rgb="FFE1AAA9"/>
          <bgColor rgb="FFE1AAA9"/>
        </patternFill>
      </fill>
    </dxf>
    <dxf>
      <fill>
        <patternFill patternType="solid">
          <fgColor rgb="FFBFBFBF"/>
          <bgColor rgb="FFBFBFBF"/>
        </patternFill>
      </fill>
    </dxf>
    <dxf>
      <fill>
        <patternFill patternType="solid">
          <fgColor rgb="FFBFBFBF"/>
          <bgColor rgb="FFBFBFBF"/>
        </patternFill>
      </fill>
    </dxf>
    <dxf>
      <fill>
        <patternFill patternType="solid">
          <fgColor rgb="FFDCC97A"/>
          <bgColor rgb="FFDCC97A"/>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0000"/>
          <bgColor rgb="FFFF0000"/>
        </patternFill>
      </fill>
    </dxf>
    <dxf>
      <fill>
        <patternFill patternType="solid">
          <fgColor rgb="FFEEB400"/>
          <bgColor rgb="FFEEB400"/>
        </patternFill>
      </fill>
    </dxf>
    <dxf>
      <fill>
        <patternFill patternType="solid">
          <fgColor rgb="FFFF9900"/>
          <bgColor rgb="FFFF9900"/>
        </patternFill>
      </fill>
    </dxf>
    <dxf>
      <fill>
        <patternFill patternType="solid">
          <fgColor rgb="FFF2F2F2"/>
          <bgColor rgb="FFF2F2F2"/>
        </patternFill>
      </fill>
    </dxf>
    <dxf>
      <fill>
        <patternFill patternType="solid">
          <fgColor rgb="FFFF0000"/>
          <bgColor rgb="FFFF00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FF0000"/>
          <bgColor rgb="FFFF0000"/>
        </patternFill>
      </fill>
    </dxf>
    <dxf>
      <fill>
        <patternFill patternType="solid">
          <fgColor rgb="FFBABABA"/>
          <bgColor rgb="FFBABABA"/>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949494"/>
          <bgColor rgb="FF949494"/>
        </patternFill>
      </fill>
    </dxf>
    <dxf>
      <fill>
        <patternFill patternType="solid">
          <fgColor rgb="FFF2F2F2"/>
          <bgColor rgb="FFF2F2F2"/>
        </patternFill>
      </fill>
    </dxf>
    <dxf>
      <fill>
        <patternFill patternType="solid">
          <fgColor rgb="FFEEB400"/>
          <bgColor rgb="FFEEB400"/>
        </patternFill>
      </fill>
    </dxf>
    <dxf>
      <fill>
        <patternFill patternType="solid">
          <fgColor rgb="FFFF9900"/>
          <bgColor rgb="FFFF9900"/>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FF0000"/>
          <bgColor rgb="FFFF00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F9900"/>
          <bgColor rgb="FFFF9900"/>
        </patternFill>
      </fill>
    </dxf>
    <dxf>
      <fill>
        <patternFill patternType="solid">
          <fgColor rgb="FF949494"/>
          <bgColor rgb="FF949494"/>
        </patternFill>
      </fill>
    </dxf>
    <dxf>
      <fill>
        <patternFill patternType="solid">
          <fgColor rgb="FFEEB400"/>
          <bgColor rgb="FFEEB400"/>
        </patternFill>
      </fill>
    </dxf>
    <dxf>
      <fill>
        <patternFill patternType="solid">
          <fgColor rgb="FFFF9900"/>
          <bgColor rgb="FFFF9900"/>
        </patternFill>
      </fill>
    </dxf>
    <dxf>
      <fill>
        <patternFill patternType="solid">
          <fgColor rgb="FFD4D4D4"/>
          <bgColor rgb="FFD4D4D4"/>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E4E300"/>
          <bgColor rgb="FFE4E300"/>
        </patternFill>
      </fill>
    </dxf>
    <dxf>
      <fill>
        <patternFill patternType="solid">
          <fgColor rgb="FFB2B2B2"/>
          <bgColor rgb="FFB2B2B2"/>
        </patternFill>
      </fill>
    </dxf>
    <dxf>
      <fill>
        <patternFill patternType="solid">
          <fgColor rgb="FF9E004F"/>
          <bgColor rgb="FF9E004F"/>
        </patternFill>
      </fill>
    </dxf>
    <dxf>
      <fill>
        <patternFill patternType="solid">
          <fgColor rgb="FFBFBFBF"/>
          <bgColor rgb="FFBFBFBF"/>
        </patternFill>
      </fill>
    </dxf>
    <dxf>
      <fill>
        <patternFill patternType="solid">
          <fgColor rgb="FFFF9900"/>
          <bgColor rgb="FFFF9900"/>
        </patternFill>
      </fill>
    </dxf>
    <dxf>
      <fill>
        <patternFill patternType="solid">
          <fgColor rgb="FF949494"/>
          <bgColor rgb="FF949494"/>
        </patternFill>
      </fill>
    </dxf>
    <dxf>
      <fill>
        <patternFill patternType="solid">
          <fgColor rgb="FFB2B2B2"/>
          <bgColor rgb="FFB2B2B2"/>
        </patternFill>
      </fill>
    </dxf>
    <dxf>
      <fill>
        <patternFill patternType="solid">
          <fgColor rgb="FFE4E300"/>
          <bgColor rgb="FFE4E300"/>
        </patternFill>
      </fill>
    </dxf>
    <dxf>
      <fill>
        <patternFill patternType="solid">
          <fgColor rgb="FFFF9900"/>
          <bgColor rgb="FFFF9900"/>
        </patternFill>
      </fill>
    </dxf>
    <dxf>
      <fill>
        <patternFill patternType="solid">
          <fgColor rgb="FF949494"/>
          <bgColor rgb="FF949494"/>
        </patternFill>
      </fill>
    </dxf>
    <dxf>
      <fill>
        <patternFill patternType="solid">
          <fgColor rgb="FFFF0000"/>
          <bgColor rgb="FFFF0000"/>
        </patternFill>
      </fill>
    </dxf>
    <dxf>
      <fill>
        <patternFill patternType="solid">
          <fgColor rgb="FFBFBFBF"/>
          <bgColor rgb="FFBFBFBF"/>
        </patternFill>
      </fill>
    </dxf>
    <dxf>
      <fill>
        <patternFill patternType="solid">
          <fgColor rgb="FFBFBFBF"/>
          <bgColor rgb="FFBFBFBF"/>
        </patternFill>
      </fill>
    </dxf>
    <dxf>
      <fill>
        <patternFill patternType="solid">
          <fgColor rgb="FFFF9900"/>
          <bgColor rgb="FFFF9900"/>
        </patternFill>
      </fill>
    </dxf>
    <dxf>
      <fill>
        <patternFill patternType="solid">
          <fgColor rgb="FF949494"/>
          <bgColor rgb="FF949494"/>
        </patternFill>
      </fill>
    </dxf>
    <dxf>
      <fill>
        <patternFill patternType="solid">
          <fgColor rgb="FFDCC97A"/>
          <bgColor rgb="FFDCC97A"/>
        </patternFill>
      </fill>
    </dxf>
    <dxf>
      <fill>
        <patternFill patternType="solid">
          <fgColor rgb="FFE1AAA9"/>
          <bgColor rgb="FFE1AAA9"/>
        </patternFill>
      </fill>
    </dxf>
    <dxf>
      <fill>
        <patternFill patternType="solid">
          <fgColor rgb="FFDCC97A"/>
          <bgColor rgb="FFDCC97A"/>
        </patternFill>
      </fill>
    </dxf>
    <dxf>
      <fill>
        <patternFill patternType="solid">
          <fgColor rgb="FFBFBFBF"/>
          <bgColor rgb="FFBFBFBF"/>
        </patternFill>
      </fill>
    </dxf>
    <dxf>
      <fill>
        <patternFill patternType="solid">
          <fgColor rgb="FFE1AAA9"/>
          <bgColor rgb="FFE1AAA9"/>
        </patternFill>
      </fill>
    </dxf>
    <dxf>
      <fill>
        <patternFill patternType="solid">
          <fgColor rgb="FFBFBFBF"/>
          <bgColor rgb="FFBFBFBF"/>
        </patternFill>
      </fill>
    </dxf>
    <dxf>
      <fill>
        <patternFill patternType="solid">
          <fgColor rgb="FFDCC97A"/>
          <bgColor rgb="FFDCC97A"/>
        </patternFill>
      </fill>
    </dxf>
    <dxf>
      <fill>
        <patternFill patternType="solid">
          <fgColor rgb="FF949494"/>
          <bgColor rgb="FF949494"/>
        </patternFill>
      </fill>
    </dxf>
    <dxf>
      <fill>
        <patternFill patternType="solid">
          <fgColor rgb="FFDCC97A"/>
          <bgColor rgb="FFDCC97A"/>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1F1F1"/>
          <bgColor rgb="FFF1F1F1"/>
        </patternFill>
      </fill>
    </dxf>
    <dxf>
      <fill>
        <patternFill patternType="solid">
          <fgColor rgb="FF4685D2"/>
          <bgColor rgb="FF4685D2"/>
        </patternFill>
      </fill>
    </dxf>
    <dxf>
      <fill>
        <patternFill patternType="solid">
          <fgColor rgb="FFF2F2F2"/>
          <bgColor rgb="FFF2F2F2"/>
        </patternFill>
      </fill>
    </dxf>
    <dxf>
      <fill>
        <patternFill patternType="solid">
          <fgColor rgb="FFD4D4D4"/>
          <bgColor rgb="FFD4D4D4"/>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1F1F1"/>
          <bgColor rgb="FFF1F1F1"/>
        </patternFill>
      </fill>
    </dxf>
    <dxf>
      <fill>
        <patternFill patternType="solid">
          <fgColor rgb="FF4685D2"/>
          <bgColor rgb="FF4685D2"/>
        </patternFill>
      </fill>
    </dxf>
    <dxf>
      <fill>
        <patternFill patternType="solid">
          <fgColor rgb="FFF2F2F2"/>
          <bgColor rgb="FFF2F2F2"/>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BFBFBF"/>
          <bgColor rgb="FFBFBFBF"/>
        </patternFill>
      </fill>
    </dxf>
    <dxf>
      <fill>
        <patternFill patternType="solid">
          <fgColor rgb="FFDCC97A"/>
          <bgColor rgb="FFDCC97A"/>
        </patternFill>
      </fill>
    </dxf>
    <dxf>
      <fill>
        <patternFill patternType="solid">
          <fgColor rgb="FFBFBFBF"/>
          <bgColor rgb="FFBFBFBF"/>
        </patternFill>
      </fill>
    </dxf>
    <dxf>
      <fill>
        <patternFill patternType="solid">
          <fgColor rgb="FFDCC97A"/>
          <bgColor rgb="FFDCC97A"/>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9E004F"/>
          <bgColor rgb="FF9E004F"/>
        </patternFill>
      </fill>
    </dxf>
    <dxf>
      <fill>
        <patternFill patternType="solid">
          <fgColor rgb="FFBFBFBF"/>
          <bgColor rgb="FFBFBFBF"/>
        </patternFill>
      </fill>
    </dxf>
    <dxf>
      <fill>
        <patternFill patternType="solid">
          <fgColor rgb="FFBFBFBF"/>
          <bgColor rgb="FFBFBFBF"/>
        </patternFill>
      </fill>
    </dxf>
    <dxf>
      <fill>
        <patternFill patternType="solid">
          <fgColor rgb="FFDCC97A"/>
          <bgColor rgb="FFDCC97A"/>
        </patternFill>
      </fill>
    </dxf>
    <dxf>
      <fill>
        <patternFill patternType="solid">
          <fgColor rgb="FFBFBFBF"/>
          <bgColor rgb="FFBFBFBF"/>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F2F2F2"/>
          <bgColor rgb="FFF2F2F2"/>
        </patternFill>
      </fill>
    </dxf>
    <dxf>
      <fill>
        <patternFill patternType="solid">
          <fgColor rgb="FFFF0000"/>
          <bgColor rgb="FFFF0000"/>
        </patternFill>
      </fill>
    </dxf>
    <dxf>
      <fill>
        <patternFill patternType="solid">
          <fgColor rgb="FFFF9900"/>
          <bgColor rgb="FFFF9900"/>
        </patternFill>
      </fill>
    </dxf>
    <dxf>
      <fill>
        <patternFill patternType="solid">
          <fgColor rgb="FF949494"/>
          <bgColor rgb="FF949494"/>
        </patternFill>
      </fill>
    </dxf>
    <dxf>
      <fill>
        <patternFill patternType="solid">
          <fgColor rgb="FFBFBFBF"/>
          <bgColor rgb="FFBFBFBF"/>
        </patternFill>
      </fill>
    </dxf>
    <dxf>
      <fill>
        <patternFill patternType="solid">
          <fgColor rgb="FFDCC97A"/>
          <bgColor rgb="FFDCC97A"/>
        </patternFill>
      </fill>
    </dxf>
    <dxf>
      <fill>
        <patternFill patternType="solid">
          <fgColor rgb="FFF1F1F1"/>
          <bgColor rgb="FFF1F1F1"/>
        </patternFill>
      </fill>
    </dxf>
    <dxf>
      <fill>
        <patternFill patternType="solid">
          <fgColor rgb="FFBFBFBF"/>
          <bgColor rgb="FFBFBFBF"/>
        </patternFill>
      </fill>
    </dxf>
    <dxf>
      <fill>
        <patternFill patternType="solid">
          <fgColor rgb="FFDCC97A"/>
          <bgColor rgb="FFDCC97A"/>
        </patternFill>
      </fill>
    </dxf>
    <dxf>
      <fill>
        <patternFill patternType="solid">
          <fgColor rgb="FFBFBFBF"/>
          <bgColor rgb="FFBFBFBF"/>
        </patternFill>
      </fill>
    </dxf>
    <dxf>
      <fill>
        <patternFill patternType="solid">
          <fgColor rgb="FFDCC97A"/>
          <bgColor rgb="FFDCC97A"/>
        </patternFill>
      </fill>
    </dxf>
    <dxf>
      <fill>
        <patternFill patternType="solid">
          <fgColor rgb="FFFF9900"/>
          <bgColor rgb="FFFF9900"/>
        </patternFill>
      </fill>
    </dxf>
    <dxf>
      <fill>
        <patternFill patternType="solid">
          <fgColor rgb="FFE4E300"/>
          <bgColor rgb="FFE4E300"/>
        </patternFill>
      </fill>
    </dxf>
    <dxf>
      <fill>
        <patternFill patternType="solid">
          <fgColor rgb="FFB2B2B2"/>
          <bgColor rgb="FFB2B2B2"/>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DCC97A"/>
          <bgColor rgb="FFDCC97A"/>
        </patternFill>
      </fill>
    </dxf>
    <dxf>
      <fill>
        <patternFill patternType="solid">
          <fgColor rgb="FFBABABA"/>
          <bgColor rgb="FFBABABA"/>
        </patternFill>
      </fill>
    </dxf>
    <dxf>
      <fill>
        <patternFill patternType="solid">
          <fgColor rgb="FFE1AAA9"/>
          <bgColor rgb="FFE1AAA9"/>
        </patternFill>
      </fill>
    </dxf>
    <dxf>
      <fill>
        <patternFill patternType="solid">
          <fgColor rgb="FFDCC97A"/>
          <bgColor rgb="FFDCC97A"/>
        </patternFill>
      </fill>
    </dxf>
    <dxf>
      <fill>
        <patternFill patternType="solid">
          <fgColor rgb="FFBFBFBF"/>
          <bgColor rgb="FFBFBFBF"/>
        </patternFill>
      </fill>
    </dxf>
    <dxf>
      <fill>
        <patternFill patternType="solid">
          <fgColor rgb="FFDCC97A"/>
          <bgColor rgb="FFDCC97A"/>
        </patternFill>
      </fill>
    </dxf>
    <dxf>
      <fill>
        <patternFill patternType="solid">
          <fgColor rgb="FFBFBFBF"/>
          <bgColor rgb="FFBFBFBF"/>
        </patternFill>
      </fill>
    </dxf>
    <dxf>
      <fill>
        <patternFill patternType="solid">
          <fgColor rgb="FFDCC97A"/>
          <bgColor rgb="FFDCC97A"/>
        </patternFill>
      </fill>
    </dxf>
    <dxf>
      <fill>
        <patternFill patternType="solid">
          <fgColor rgb="FFBFBFBF"/>
          <bgColor rgb="FFBFBFBF"/>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BFBFBF"/>
          <bgColor rgb="FFBFBFBF"/>
        </patternFill>
      </fill>
    </dxf>
    <dxf>
      <fill>
        <patternFill patternType="solid">
          <fgColor rgb="FFDCC97A"/>
          <bgColor rgb="FFDCC97A"/>
        </patternFill>
      </fill>
    </dxf>
    <dxf>
      <fill>
        <patternFill patternType="solid">
          <fgColor rgb="FFFF0000"/>
          <bgColor rgb="FFFF0000"/>
        </patternFill>
      </fill>
    </dxf>
    <dxf>
      <fill>
        <patternFill patternType="solid">
          <fgColor rgb="FFBFBFBF"/>
          <bgColor rgb="FFBFBFBF"/>
        </patternFill>
      </fill>
    </dxf>
    <dxf>
      <fill>
        <patternFill patternType="solid">
          <fgColor rgb="FFDCC97A"/>
          <bgColor rgb="FFDCC97A"/>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D4D4D4"/>
          <bgColor rgb="FFD4D4D4"/>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CC97A"/>
          <bgColor rgb="FFDCC97A"/>
        </patternFill>
      </fill>
    </dxf>
    <dxf>
      <fill>
        <patternFill patternType="solid">
          <fgColor rgb="FFBFBFBF"/>
          <bgColor rgb="FFBFBFBF"/>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BFBFBF"/>
          <bgColor rgb="FFBFBFBF"/>
        </patternFill>
      </fill>
    </dxf>
    <dxf>
      <fill>
        <patternFill patternType="solid">
          <fgColor rgb="FFDCC97A"/>
          <bgColor rgb="FFDCC97A"/>
        </patternFill>
      </fill>
    </dxf>
    <dxf>
      <fill>
        <patternFill patternType="solid">
          <fgColor rgb="FFFF0000"/>
          <bgColor rgb="FFFF0000"/>
        </patternFill>
      </fill>
    </dxf>
    <dxf>
      <fill>
        <patternFill patternType="solid">
          <fgColor rgb="FFBFBFBF"/>
          <bgColor rgb="FFBFBFBF"/>
        </patternFill>
      </fill>
    </dxf>
    <dxf>
      <fill>
        <patternFill patternType="solid">
          <fgColor rgb="FFDCC97A"/>
          <bgColor rgb="FFDCC97A"/>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D4D4D4"/>
          <bgColor rgb="FFD4D4D4"/>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CC97A"/>
          <bgColor rgb="FFDCC97A"/>
        </patternFill>
      </fill>
    </dxf>
    <dxf>
      <fill>
        <patternFill patternType="solid">
          <fgColor rgb="FFBFBFBF"/>
          <bgColor rgb="FFBFBFBF"/>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BFBFBF"/>
          <bgColor rgb="FFBFBFBF"/>
        </patternFill>
      </fill>
    </dxf>
    <dxf>
      <fill>
        <patternFill patternType="solid">
          <fgColor rgb="FFDCC97A"/>
          <bgColor rgb="FFDCC97A"/>
        </patternFill>
      </fill>
    </dxf>
    <dxf>
      <fill>
        <patternFill patternType="solid">
          <fgColor rgb="FFFF0000"/>
          <bgColor rgb="FFFF0000"/>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BFBFBF"/>
          <bgColor rgb="FFBFBFBF"/>
        </patternFill>
      </fill>
    </dxf>
    <dxf>
      <fill>
        <patternFill patternType="solid">
          <fgColor rgb="FFDCC97A"/>
          <bgColor rgb="FFDCC97A"/>
        </patternFill>
      </fill>
    </dxf>
    <dxf>
      <fill>
        <patternFill patternType="solid">
          <fgColor rgb="FFFF0000"/>
          <bgColor rgb="FFFF0000"/>
        </patternFill>
      </fill>
    </dxf>
    <dxf>
      <fill>
        <patternFill patternType="solid">
          <fgColor rgb="FFBFBFBF"/>
          <bgColor rgb="FFBFBFBF"/>
        </patternFill>
      </fill>
    </dxf>
    <dxf>
      <fill>
        <patternFill patternType="solid">
          <fgColor rgb="FFDCC97A"/>
          <bgColor rgb="FFDCC97A"/>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D4D4D4"/>
          <bgColor rgb="FFD4D4D4"/>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CC97A"/>
          <bgColor rgb="FFDCC97A"/>
        </patternFill>
      </fill>
    </dxf>
    <dxf>
      <fill>
        <patternFill patternType="solid">
          <fgColor rgb="FFBFBFBF"/>
          <bgColor rgb="FFBFBFBF"/>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DCC97A"/>
          <bgColor rgb="FFDCC97A"/>
        </patternFill>
      </fill>
    </dxf>
    <dxf>
      <fill>
        <patternFill patternType="solid">
          <fgColor rgb="FFBFBFBF"/>
          <bgColor rgb="FFBFBFBF"/>
        </patternFill>
      </fill>
    </dxf>
    <dxf>
      <fill>
        <patternFill patternType="solid">
          <fgColor rgb="FF9E004F"/>
          <bgColor rgb="FF9E004F"/>
        </patternFill>
      </fill>
    </dxf>
    <dxf>
      <fill>
        <patternFill patternType="solid">
          <fgColor rgb="FFBFBFBF"/>
          <bgColor rgb="FFBFBFBF"/>
        </patternFill>
      </fill>
    </dxf>
    <dxf>
      <fill>
        <patternFill patternType="solid">
          <fgColor rgb="FFE4E300"/>
          <bgColor rgb="FFE4E300"/>
        </patternFill>
      </fill>
    </dxf>
    <dxf>
      <fill>
        <patternFill patternType="solid">
          <fgColor rgb="FFB2B2B2"/>
          <bgColor rgb="FFB2B2B2"/>
        </patternFill>
      </fill>
    </dxf>
    <dxf>
      <fill>
        <patternFill patternType="solid">
          <fgColor rgb="FF9E004F"/>
          <bgColor rgb="FF9E004F"/>
        </patternFill>
      </fill>
    </dxf>
    <dxf>
      <fill>
        <patternFill patternType="solid">
          <fgColor rgb="FFE1AAA9"/>
          <bgColor rgb="FFE1AAA9"/>
        </patternFill>
      </fill>
    </dxf>
    <dxf>
      <fill>
        <patternFill patternType="solid">
          <fgColor rgb="FFBFBFBF"/>
          <bgColor rgb="FFBFBFBF"/>
        </patternFill>
      </fill>
    </dxf>
    <dxf>
      <fill>
        <patternFill patternType="solid">
          <fgColor rgb="FFDCC97A"/>
          <bgColor rgb="FFDCC97A"/>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BABABA"/>
          <bgColor rgb="FFBABABA"/>
        </patternFill>
      </fill>
    </dxf>
    <dxf>
      <fill>
        <patternFill patternType="solid">
          <fgColor rgb="FFFF0000"/>
          <bgColor rgb="FFFF0000"/>
        </patternFill>
      </fill>
    </dxf>
    <dxf>
      <fill>
        <patternFill patternType="solid">
          <fgColor rgb="FF949494"/>
          <bgColor rgb="FF949494"/>
        </patternFill>
      </fill>
    </dxf>
    <dxf>
      <fill>
        <patternFill patternType="solid">
          <fgColor rgb="FFF1F1F1"/>
          <bgColor rgb="FFF1F1F1"/>
        </patternFill>
      </fill>
    </dxf>
    <dxf>
      <fill>
        <patternFill patternType="solid">
          <fgColor rgb="FFFF9900"/>
          <bgColor rgb="FFFF9900"/>
        </patternFill>
      </fill>
    </dxf>
    <dxf>
      <fill>
        <patternFill patternType="solid">
          <fgColor rgb="FF4685D2"/>
          <bgColor rgb="FF4685D2"/>
        </patternFill>
      </fill>
    </dxf>
    <dxf>
      <fill>
        <patternFill patternType="solid">
          <fgColor rgb="FFBFBFBF"/>
          <bgColor rgb="FFBFBFBF"/>
        </patternFill>
      </fill>
    </dxf>
    <dxf>
      <fill>
        <patternFill patternType="solid">
          <fgColor rgb="FFBABABA"/>
          <bgColor rgb="FFBABABA"/>
        </patternFill>
      </fill>
    </dxf>
    <dxf>
      <fill>
        <patternFill patternType="solid">
          <fgColor rgb="FF949494"/>
          <bgColor rgb="FF949494"/>
        </patternFill>
      </fill>
    </dxf>
    <dxf>
      <fill>
        <patternFill patternType="solid">
          <fgColor rgb="FF4685D2"/>
          <bgColor rgb="FF4685D2"/>
        </patternFill>
      </fill>
    </dxf>
    <dxf>
      <fill>
        <patternFill patternType="solid">
          <fgColor rgb="FFD4D4D4"/>
          <bgColor rgb="FFD4D4D4"/>
        </patternFill>
      </fill>
    </dxf>
    <dxf>
      <fill>
        <patternFill patternType="solid">
          <fgColor rgb="FF4685D2"/>
          <bgColor rgb="FF4685D2"/>
        </patternFill>
      </fill>
    </dxf>
    <dxf>
      <fill>
        <patternFill patternType="solid">
          <fgColor rgb="FFFF9900"/>
          <bgColor rgb="FFFF9900"/>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FF0000"/>
          <bgColor rgb="FFFF0000"/>
        </patternFill>
      </fill>
    </dxf>
    <dxf>
      <fill>
        <patternFill patternType="solid">
          <fgColor rgb="FFF2F2F2"/>
          <bgColor rgb="FFF2F2F2"/>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1F1F1"/>
          <bgColor rgb="FFF1F1F1"/>
        </patternFill>
      </fill>
    </dxf>
    <dxf>
      <fill>
        <patternFill patternType="solid">
          <fgColor rgb="FF4685D2"/>
          <bgColor rgb="FF4685D2"/>
        </patternFill>
      </fill>
    </dxf>
    <dxf>
      <fill>
        <patternFill patternType="solid">
          <fgColor rgb="FFF2F2F2"/>
          <bgColor rgb="FFF2F2F2"/>
        </patternFill>
      </fill>
    </dxf>
    <dxf>
      <fill>
        <patternFill patternType="solid">
          <fgColor rgb="FF949494"/>
          <bgColor rgb="FF949494"/>
        </patternFill>
      </fill>
    </dxf>
    <dxf>
      <fill>
        <patternFill patternType="solid">
          <fgColor rgb="FF4685D2"/>
          <bgColor rgb="FF4685D2"/>
        </patternFill>
      </fill>
    </dxf>
    <dxf>
      <fill>
        <patternFill patternType="solid">
          <fgColor rgb="FFE1AAA9"/>
          <bgColor rgb="FFE1AAA9"/>
        </patternFill>
      </fill>
    </dxf>
    <dxf>
      <fill>
        <patternFill patternType="solid">
          <fgColor rgb="FFEEB400"/>
          <bgColor rgb="FFEEB400"/>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BFBFBF"/>
          <bgColor rgb="FFBFBFBF"/>
        </patternFill>
      </fill>
    </dxf>
    <dxf>
      <fill>
        <patternFill patternType="solid">
          <fgColor rgb="FFDCC97A"/>
          <bgColor rgb="FFDCC97A"/>
        </patternFill>
      </fill>
    </dxf>
    <dxf>
      <fill>
        <patternFill patternType="solid">
          <fgColor rgb="FFBFBFBF"/>
          <bgColor rgb="FFBFBFBF"/>
        </patternFill>
      </fill>
    </dxf>
    <dxf>
      <fill>
        <patternFill patternType="solid">
          <fgColor rgb="FFDCC97A"/>
          <bgColor rgb="FFDCC97A"/>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FF0000"/>
          <bgColor rgb="FFFF0000"/>
        </patternFill>
      </fill>
    </dxf>
    <dxf>
      <fill>
        <patternFill patternType="solid">
          <fgColor rgb="FFF2F2F2"/>
          <bgColor rgb="FFF2F2F2"/>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BFBFBF"/>
          <bgColor rgb="FFBFBFBF"/>
        </patternFill>
      </fill>
    </dxf>
    <dxf>
      <fill>
        <patternFill patternType="solid">
          <fgColor rgb="FFDCC97A"/>
          <bgColor rgb="FFDCC97A"/>
        </patternFill>
      </fill>
    </dxf>
    <dxf>
      <fill>
        <patternFill patternType="solid">
          <fgColor rgb="FFBFBFBF"/>
          <bgColor rgb="FFBFBFBF"/>
        </patternFill>
      </fill>
    </dxf>
    <dxf>
      <fill>
        <patternFill patternType="solid">
          <fgColor rgb="FFDCC97A"/>
          <bgColor rgb="FFDCC97A"/>
        </patternFill>
      </fill>
    </dxf>
    <dxf>
      <fill>
        <patternFill patternType="solid">
          <fgColor rgb="FFEEB400"/>
          <bgColor rgb="FFEEB400"/>
        </patternFill>
      </fill>
    </dxf>
    <dxf>
      <fill>
        <patternFill patternType="solid">
          <fgColor rgb="FFFF9900"/>
          <bgColor rgb="FFFF9900"/>
        </patternFill>
      </fill>
    </dxf>
    <dxf>
      <fill>
        <patternFill patternType="solid">
          <fgColor rgb="FF4685D2"/>
          <bgColor rgb="FF4685D2"/>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E4E300"/>
          <bgColor rgb="FFE4E300"/>
        </patternFill>
      </fill>
    </dxf>
    <dxf>
      <fill>
        <patternFill patternType="solid">
          <fgColor rgb="FFB2B2B2"/>
          <bgColor rgb="FFB2B2B2"/>
        </patternFill>
      </fill>
    </dxf>
    <dxf>
      <fill>
        <patternFill patternType="solid">
          <fgColor rgb="FF9E004F"/>
          <bgColor rgb="FF9E004F"/>
        </patternFill>
      </fill>
    </dxf>
    <dxf>
      <fill>
        <patternFill patternType="solid">
          <fgColor rgb="FFBFBFBF"/>
          <bgColor rgb="FFBFBFBF"/>
        </patternFill>
      </fill>
    </dxf>
    <dxf>
      <fill>
        <patternFill patternType="solid">
          <fgColor rgb="FFE1AAA9"/>
          <bgColor rgb="FFE1AAA9"/>
        </patternFill>
      </fill>
    </dxf>
    <dxf>
      <fill>
        <patternFill patternType="solid">
          <fgColor rgb="FFBFBFBF"/>
          <bgColor rgb="FFBFBFBF"/>
        </patternFill>
      </fill>
    </dxf>
    <dxf>
      <fill>
        <patternFill patternType="solid">
          <fgColor rgb="FFBFBFBF"/>
          <bgColor rgb="FFBFBFBF"/>
        </patternFill>
      </fill>
    </dxf>
    <dxf>
      <fill>
        <patternFill patternType="solid">
          <fgColor rgb="FFDCC97A"/>
          <bgColor rgb="FFDCC97A"/>
        </patternFill>
      </fill>
    </dxf>
    <dxf>
      <fill>
        <patternFill patternType="solid">
          <fgColor rgb="FFBFBFBF"/>
          <bgColor rgb="FFBFBFBF"/>
        </patternFill>
      </fill>
    </dxf>
    <dxf>
      <fill>
        <patternFill patternType="solid">
          <fgColor rgb="FF4685D2"/>
          <bgColor rgb="FF4685D2"/>
        </patternFill>
      </fill>
    </dxf>
    <dxf>
      <fill>
        <patternFill patternType="solid">
          <fgColor rgb="FFF1F1F1"/>
          <bgColor rgb="FFF1F1F1"/>
        </patternFill>
      </fill>
    </dxf>
    <dxf>
      <fill>
        <patternFill patternType="solid">
          <fgColor rgb="FFBFBFBF"/>
          <bgColor rgb="FFBFBFBF"/>
        </patternFill>
      </fill>
    </dxf>
    <dxf>
      <fill>
        <patternFill patternType="solid">
          <fgColor rgb="FFDCC97A"/>
          <bgColor rgb="FFDCC97A"/>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BFBFBF"/>
          <bgColor rgb="FFBFBFBF"/>
        </patternFill>
      </fill>
    </dxf>
    <dxf>
      <fill>
        <patternFill patternType="solid">
          <fgColor rgb="FFDCC97A"/>
          <bgColor rgb="FFDCC97A"/>
        </patternFill>
      </fill>
    </dxf>
    <dxf>
      <fill>
        <patternFill patternType="solid">
          <fgColor rgb="FFBFBFBF"/>
          <bgColor rgb="FFBFBFBF"/>
        </patternFill>
      </fill>
    </dxf>
    <dxf>
      <fill>
        <patternFill patternType="solid">
          <fgColor rgb="FFDCC97A"/>
          <bgColor rgb="FFDCC97A"/>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1F1F1"/>
          <bgColor rgb="FFF1F1F1"/>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DCC97A"/>
          <bgColor rgb="FFDCC97A"/>
        </patternFill>
      </fill>
    </dxf>
    <dxf>
      <fill>
        <patternFill patternType="solid">
          <fgColor rgb="FFEEB400"/>
          <bgColor rgb="FFEEB400"/>
        </patternFill>
      </fill>
    </dxf>
    <dxf>
      <fill>
        <patternFill patternType="solid">
          <fgColor rgb="FFEEB400"/>
          <bgColor rgb="FFEEB400"/>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BFBFBF"/>
          <bgColor rgb="FFBFBFBF"/>
        </patternFill>
      </fill>
    </dxf>
    <dxf>
      <fill>
        <patternFill patternType="solid">
          <fgColor rgb="FFDCC97A"/>
          <bgColor rgb="FFDCC97A"/>
        </patternFill>
      </fill>
    </dxf>
    <dxf>
      <fill>
        <patternFill patternType="solid">
          <fgColor rgb="FFBFBFBF"/>
          <bgColor rgb="FFBFBFBF"/>
        </patternFill>
      </fill>
    </dxf>
    <dxf>
      <fill>
        <patternFill patternType="solid">
          <fgColor rgb="FFDCC97A"/>
          <bgColor rgb="FFDCC97A"/>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1F1F1"/>
          <bgColor rgb="FFF1F1F1"/>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F0000"/>
          <bgColor rgb="FFFF0000"/>
        </patternFill>
      </fill>
    </dxf>
    <dxf>
      <fill>
        <patternFill patternType="solid">
          <fgColor rgb="FFEEB400"/>
          <bgColor rgb="FFEEB400"/>
        </patternFill>
      </fill>
    </dxf>
    <dxf>
      <fill>
        <patternFill patternType="solid">
          <fgColor rgb="FFFF9900"/>
          <bgColor rgb="FFFF9900"/>
        </patternFill>
      </fill>
    </dxf>
    <dxf>
      <fill>
        <patternFill patternType="solid">
          <fgColor rgb="FFEEB400"/>
          <bgColor rgb="FFEEB400"/>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D4D4D4"/>
          <bgColor rgb="FFD4D4D4"/>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949494"/>
          <bgColor rgb="FF949494"/>
        </patternFill>
      </fill>
    </dxf>
    <dxf>
      <fill>
        <patternFill patternType="solid">
          <fgColor rgb="FF949494"/>
          <bgColor rgb="FF949494"/>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FF9900"/>
          <bgColor rgb="FFFF9900"/>
        </patternFill>
      </fill>
    </dxf>
    <dxf>
      <fill>
        <patternFill patternType="solid">
          <fgColor rgb="FFE4E300"/>
          <bgColor rgb="FFE4E300"/>
        </patternFill>
      </fill>
    </dxf>
    <dxf>
      <fill>
        <patternFill patternType="solid">
          <fgColor rgb="FFF1F1F1"/>
          <bgColor rgb="FFF1F1F1"/>
        </patternFill>
      </fill>
    </dxf>
    <dxf>
      <fill>
        <patternFill patternType="solid">
          <fgColor rgb="FFBFBFBF"/>
          <bgColor rgb="FFBFBFBF"/>
        </patternFill>
      </fill>
    </dxf>
    <dxf>
      <fill>
        <patternFill patternType="solid">
          <fgColor rgb="FFFF9900"/>
          <bgColor rgb="FFFF9900"/>
        </patternFill>
      </fill>
    </dxf>
    <dxf>
      <fill>
        <patternFill patternType="solid">
          <fgColor rgb="FFD4D4D4"/>
          <bgColor rgb="FFD4D4D4"/>
        </patternFill>
      </fill>
    </dxf>
    <dxf>
      <fill>
        <patternFill patternType="solid">
          <fgColor rgb="FFBFBFBF"/>
          <bgColor rgb="FFBFBFBF"/>
        </patternFill>
      </fill>
    </dxf>
    <dxf>
      <fill>
        <patternFill patternType="solid">
          <fgColor rgb="FFDCC97A"/>
          <bgColor rgb="FFDCC97A"/>
        </patternFill>
      </fill>
    </dxf>
    <dxf>
      <fill>
        <patternFill patternType="solid">
          <fgColor rgb="FF4685D2"/>
          <bgColor rgb="FF4685D2"/>
        </patternFill>
      </fill>
    </dxf>
    <dxf>
      <fill>
        <patternFill patternType="solid">
          <fgColor rgb="FFBFBFBF"/>
          <bgColor rgb="FFBFBFBF"/>
        </patternFill>
      </fill>
    </dxf>
    <dxf>
      <fill>
        <patternFill patternType="solid">
          <fgColor rgb="FFB2B2B2"/>
          <bgColor rgb="FFB2B2B2"/>
        </patternFill>
      </fill>
    </dxf>
    <dxf>
      <fill>
        <patternFill patternType="solid">
          <fgColor rgb="FFF2F2F2"/>
          <bgColor rgb="FFF2F2F2"/>
        </patternFill>
      </fill>
    </dxf>
    <dxf>
      <fill>
        <patternFill patternType="solid">
          <fgColor rgb="FF949494"/>
          <bgColor rgb="FF949494"/>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BFBFBF"/>
          <bgColor rgb="FFBFBFBF"/>
        </patternFill>
      </fill>
    </dxf>
    <dxf>
      <fill>
        <patternFill patternType="solid">
          <fgColor rgb="FFDCC97A"/>
          <bgColor rgb="FFDCC97A"/>
        </patternFill>
      </fill>
    </dxf>
    <dxf>
      <fill>
        <patternFill patternType="solid">
          <fgColor rgb="FFE1AAA9"/>
          <bgColor rgb="FFE1AAA9"/>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BFBFBF"/>
          <bgColor rgb="FFBFBFBF"/>
        </patternFill>
      </fill>
    </dxf>
    <dxf>
      <fill>
        <patternFill patternType="solid">
          <fgColor rgb="FFDCC97A"/>
          <bgColor rgb="FFDCC97A"/>
        </patternFill>
      </fill>
    </dxf>
    <dxf>
      <fill>
        <patternFill patternType="solid">
          <fgColor rgb="FFE1AAA9"/>
          <bgColor rgb="FFE1AAA9"/>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BFBFBF"/>
          <bgColor rgb="FFBFBFBF"/>
        </patternFill>
      </fill>
    </dxf>
    <dxf>
      <fill>
        <patternFill patternType="solid">
          <fgColor rgb="FFDCC97A"/>
          <bgColor rgb="FFDCC97A"/>
        </patternFill>
      </fill>
    </dxf>
    <dxf>
      <fill>
        <patternFill patternType="solid">
          <fgColor rgb="FFE1AAA9"/>
          <bgColor rgb="FFE1AAA9"/>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BFBFBF"/>
          <bgColor rgb="FFBFBFBF"/>
        </patternFill>
      </fill>
    </dxf>
    <dxf>
      <fill>
        <patternFill patternType="solid">
          <fgColor rgb="FFDCC97A"/>
          <bgColor rgb="FFDCC97A"/>
        </patternFill>
      </fill>
    </dxf>
    <dxf>
      <fill>
        <patternFill patternType="solid">
          <fgColor rgb="FFE1AAA9"/>
          <bgColor rgb="FFE1AAA9"/>
        </patternFill>
      </fill>
    </dxf>
    <dxf>
      <fill>
        <patternFill patternType="solid">
          <fgColor rgb="FF949494"/>
          <bgColor rgb="FF949494"/>
        </patternFill>
      </fill>
    </dxf>
    <dxf>
      <fill>
        <patternFill patternType="solid">
          <fgColor rgb="FFE1AAA9"/>
          <bgColor rgb="FFE1AAA9"/>
        </patternFill>
      </fill>
    </dxf>
    <dxf>
      <fill>
        <patternFill patternType="solid">
          <fgColor rgb="FFFF9900"/>
          <bgColor rgb="FFFF9900"/>
        </patternFill>
      </fill>
    </dxf>
    <dxf>
      <fill>
        <patternFill patternType="solid">
          <fgColor rgb="FFB2B2B2"/>
          <bgColor rgb="FFB2B2B2"/>
        </patternFill>
      </fill>
    </dxf>
    <dxf>
      <fill>
        <patternFill patternType="solid">
          <fgColor rgb="FFE4E300"/>
          <bgColor rgb="FFE4E300"/>
        </patternFill>
      </fill>
    </dxf>
    <dxf>
      <fill>
        <patternFill patternType="solid">
          <fgColor rgb="FFF1F1F1"/>
          <bgColor rgb="FFF1F1F1"/>
        </patternFill>
      </fill>
    </dxf>
    <dxf>
      <fill>
        <patternFill patternType="solid">
          <fgColor rgb="FFE1AAA9"/>
          <bgColor rgb="FFE1AAA9"/>
        </patternFill>
      </fill>
    </dxf>
    <dxf>
      <fill>
        <patternFill patternType="solid">
          <fgColor rgb="FFB2B2B2"/>
          <bgColor rgb="FFB2B2B2"/>
        </patternFill>
      </fill>
    </dxf>
    <dxf>
      <fill>
        <patternFill patternType="solid">
          <fgColor rgb="FFE1AAA9"/>
          <bgColor rgb="FFE1AAA9"/>
        </patternFill>
      </fill>
    </dxf>
    <dxf>
      <fill>
        <patternFill patternType="solid">
          <fgColor rgb="FFE1AAA9"/>
          <bgColor rgb="FFE1AAA9"/>
        </patternFill>
      </fill>
    </dxf>
    <dxf>
      <fill>
        <patternFill patternType="solid">
          <fgColor rgb="FFE4E300"/>
          <bgColor rgb="FFE4E3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BFBFBF"/>
          <bgColor rgb="FFBFBFBF"/>
        </patternFill>
      </fill>
    </dxf>
    <dxf>
      <fill>
        <patternFill patternType="solid">
          <fgColor rgb="FFB2B2B2"/>
          <bgColor rgb="FFB2B2B2"/>
        </patternFill>
      </fill>
    </dxf>
    <dxf>
      <fill>
        <patternFill patternType="solid">
          <fgColor rgb="FFFF9900"/>
          <bgColor rgb="FFFF9900"/>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FF0000"/>
          <bgColor rgb="FFFF0000"/>
        </patternFill>
      </fill>
    </dxf>
    <dxf>
      <fill>
        <patternFill patternType="solid">
          <fgColor rgb="FFDCC97A"/>
          <bgColor rgb="FFDCC97A"/>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EEB400"/>
          <bgColor rgb="FFEEB400"/>
        </patternFill>
      </fill>
    </dxf>
    <dxf>
      <fill>
        <patternFill patternType="solid">
          <fgColor rgb="FFEEB400"/>
          <bgColor rgb="FFEEB400"/>
        </patternFill>
      </fill>
    </dxf>
    <dxf>
      <fill>
        <patternFill patternType="solid">
          <fgColor rgb="FF949494"/>
          <bgColor rgb="FF949494"/>
        </patternFill>
      </fill>
    </dxf>
    <dxf>
      <fill>
        <patternFill patternType="solid">
          <fgColor rgb="FFE1AAA9"/>
          <bgColor rgb="FFE1AAA9"/>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9E004F"/>
          <bgColor rgb="FF9E004F"/>
        </patternFill>
      </fill>
    </dxf>
    <dxf>
      <fill>
        <patternFill patternType="solid">
          <fgColor rgb="FFE4E300"/>
          <bgColor rgb="FFE4E300"/>
        </patternFill>
      </fill>
    </dxf>
    <dxf>
      <fill>
        <patternFill patternType="solid">
          <fgColor rgb="FFB2B2B2"/>
          <bgColor rgb="FFB2B2B2"/>
        </patternFill>
      </fill>
    </dxf>
    <dxf>
      <fill>
        <patternFill patternType="solid">
          <fgColor rgb="FFEEB400"/>
          <bgColor rgb="FFEEB400"/>
        </patternFill>
      </fill>
    </dxf>
    <dxf>
      <fill>
        <patternFill patternType="solid">
          <fgColor rgb="FFEEB400"/>
          <bgColor rgb="FFEEB400"/>
        </patternFill>
      </fill>
    </dxf>
    <dxf>
      <fill>
        <patternFill patternType="solid">
          <fgColor rgb="FFF2F2F2"/>
          <bgColor rgb="FFF2F2F2"/>
        </patternFill>
      </fill>
    </dxf>
    <dxf>
      <fill>
        <patternFill patternType="solid">
          <fgColor rgb="FF949494"/>
          <bgColor rgb="FF949494"/>
        </patternFill>
      </fill>
    </dxf>
    <dxf>
      <fill>
        <patternFill patternType="solid">
          <fgColor rgb="FFF1F1F1"/>
          <bgColor rgb="FFF1F1F1"/>
        </patternFill>
      </fill>
    </dxf>
    <dxf>
      <fill>
        <patternFill patternType="solid">
          <fgColor rgb="FFFF9900"/>
          <bgColor rgb="FFFF9900"/>
        </patternFill>
      </fill>
    </dxf>
    <dxf>
      <fill>
        <patternFill patternType="solid">
          <fgColor rgb="FF4685D2"/>
          <bgColor rgb="FF4685D2"/>
        </patternFill>
      </fill>
    </dxf>
    <dxf>
      <fill>
        <patternFill patternType="solid">
          <fgColor rgb="FFFF0000"/>
          <bgColor rgb="FFFF0000"/>
        </patternFill>
      </fill>
    </dxf>
    <dxf>
      <fill>
        <patternFill patternType="solid">
          <fgColor rgb="FF949494"/>
          <bgColor rgb="FF949494"/>
        </patternFill>
      </fill>
    </dxf>
    <dxf>
      <fill>
        <patternFill patternType="solid">
          <fgColor rgb="FFF1F1F1"/>
          <bgColor rgb="FFF1F1F1"/>
        </patternFill>
      </fill>
    </dxf>
    <dxf>
      <fill>
        <patternFill patternType="solid">
          <fgColor rgb="FFF2F2F2"/>
          <bgColor rgb="FFF2F2F2"/>
        </patternFill>
      </fill>
    </dxf>
    <dxf>
      <fill>
        <patternFill patternType="solid">
          <fgColor rgb="FFF2F2F2"/>
          <bgColor rgb="FFF2F2F2"/>
        </patternFill>
      </fill>
    </dxf>
    <dxf>
      <fill>
        <patternFill patternType="solid">
          <fgColor rgb="FFFF0000"/>
          <bgColor rgb="FFFF0000"/>
        </patternFill>
      </fill>
    </dxf>
    <dxf>
      <fill>
        <patternFill patternType="solid">
          <fgColor rgb="FFF2F2F2"/>
          <bgColor rgb="FFF2F2F2"/>
        </patternFill>
      </fill>
    </dxf>
    <dxf>
      <fill>
        <patternFill patternType="solid">
          <fgColor rgb="FFFF0000"/>
          <bgColor rgb="FFFF0000"/>
        </patternFill>
      </fill>
    </dxf>
    <dxf>
      <fill>
        <patternFill patternType="solid">
          <fgColor rgb="FFD4D4D4"/>
          <bgColor rgb="FFD4D4D4"/>
        </patternFill>
      </fill>
    </dxf>
    <dxf>
      <fill>
        <patternFill patternType="solid">
          <fgColor rgb="FFF2F2F2"/>
          <bgColor rgb="FFF2F2F2"/>
        </patternFill>
      </fill>
    </dxf>
    <dxf>
      <fill>
        <patternFill patternType="solid">
          <fgColor rgb="FFFF9900"/>
          <bgColor rgb="FFFF9900"/>
        </patternFill>
      </fill>
    </dxf>
    <dxf>
      <fill>
        <patternFill patternType="solid">
          <fgColor rgb="FF949494"/>
          <bgColor rgb="FF949494"/>
        </patternFill>
      </fill>
    </dxf>
    <dxf>
      <fill>
        <patternFill patternType="solid">
          <fgColor rgb="FFEEB400"/>
          <bgColor rgb="FFEEB400"/>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0000"/>
          <bgColor rgb="FFFF0000"/>
        </patternFill>
      </fill>
    </dxf>
    <dxf>
      <fill>
        <patternFill patternType="solid">
          <fgColor rgb="FF9E004F"/>
          <bgColor rgb="FF9E004F"/>
        </patternFill>
      </fill>
    </dxf>
    <dxf>
      <fill>
        <patternFill patternType="solid">
          <fgColor rgb="FFE1AAA9"/>
          <bgColor rgb="FFE1AAA9"/>
        </patternFill>
      </fill>
    </dxf>
    <dxf>
      <fill>
        <patternFill patternType="solid">
          <fgColor rgb="FF4685D2"/>
          <bgColor rgb="FF4685D2"/>
        </patternFill>
      </fill>
    </dxf>
    <dxf>
      <fill>
        <patternFill patternType="solid">
          <fgColor rgb="FFF2F2F2"/>
          <bgColor rgb="FFF2F2F2"/>
        </patternFill>
      </fill>
    </dxf>
    <dxf>
      <fill>
        <patternFill patternType="solid">
          <fgColor rgb="FFFF0000"/>
          <bgColor rgb="FFFF00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D4D4D4"/>
          <bgColor rgb="FFD4D4D4"/>
        </patternFill>
      </fill>
    </dxf>
    <dxf>
      <fill>
        <patternFill patternType="solid">
          <fgColor rgb="FFBABABA"/>
          <bgColor rgb="FFBABABA"/>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2F2F2"/>
          <bgColor rgb="FFF2F2F2"/>
        </patternFill>
      </fill>
    </dxf>
    <dxf>
      <fill>
        <patternFill patternType="solid">
          <fgColor rgb="FFFF0000"/>
          <bgColor rgb="FFFF0000"/>
        </patternFill>
      </fill>
    </dxf>
    <dxf>
      <fill>
        <patternFill patternType="solid">
          <fgColor rgb="FF4685D2"/>
          <bgColor rgb="FF4685D2"/>
        </patternFill>
      </fill>
    </dxf>
    <dxf>
      <fill>
        <patternFill patternType="solid">
          <fgColor rgb="FFD4D4D4"/>
          <bgColor rgb="FFD4D4D4"/>
        </patternFill>
      </fill>
    </dxf>
    <dxf>
      <fill>
        <patternFill patternType="solid">
          <fgColor rgb="FFEEB400"/>
          <bgColor rgb="FFEEB400"/>
        </patternFill>
      </fill>
    </dxf>
    <dxf>
      <fill>
        <patternFill patternType="solid">
          <fgColor rgb="FFF1F1F1"/>
          <bgColor rgb="FFF1F1F1"/>
        </patternFill>
      </fill>
    </dxf>
    <dxf>
      <fill>
        <patternFill patternType="solid">
          <fgColor rgb="FF949494"/>
          <bgColor rgb="FF949494"/>
        </patternFill>
      </fill>
    </dxf>
    <dxf>
      <fill>
        <patternFill patternType="solid">
          <fgColor rgb="FFBABABA"/>
          <bgColor rgb="FFBABABA"/>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9E004F"/>
          <bgColor rgb="FF9E004F"/>
        </patternFill>
      </fill>
    </dxf>
    <dxf>
      <fill>
        <patternFill patternType="solid">
          <fgColor rgb="FFFF0000"/>
          <bgColor rgb="FFFF00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CC97A"/>
          <bgColor rgb="FFDCC97A"/>
        </patternFill>
      </fill>
    </dxf>
    <dxf>
      <fill>
        <patternFill patternType="solid">
          <fgColor rgb="FFF2F2F2"/>
          <bgColor rgb="FFF2F2F2"/>
        </patternFill>
      </fill>
    </dxf>
    <dxf>
      <fill>
        <patternFill patternType="solid">
          <fgColor rgb="FFFF0000"/>
          <bgColor rgb="FFFF0000"/>
        </patternFill>
      </fill>
    </dxf>
    <dxf>
      <fill>
        <patternFill patternType="solid">
          <fgColor rgb="FFBFBFBF"/>
          <bgColor rgb="FFBFBFBF"/>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9E004F"/>
          <bgColor rgb="FF9E004F"/>
        </patternFill>
      </fill>
    </dxf>
    <dxf>
      <fill>
        <patternFill patternType="solid">
          <fgColor rgb="FFDCC97A"/>
          <bgColor rgb="FFDCC97A"/>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F2F2F2"/>
          <bgColor rgb="FFF2F2F2"/>
        </patternFill>
      </fill>
    </dxf>
    <dxf>
      <fill>
        <patternFill patternType="solid">
          <fgColor rgb="FFFF0000"/>
          <bgColor rgb="FFFF0000"/>
        </patternFill>
      </fill>
    </dxf>
    <dxf>
      <fill>
        <patternFill patternType="solid">
          <fgColor rgb="FFBFBFBF"/>
          <bgColor rgb="FFBFBFBF"/>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9E004F"/>
          <bgColor rgb="FF9E004F"/>
        </patternFill>
      </fill>
    </dxf>
    <dxf>
      <fill>
        <patternFill patternType="solid">
          <fgColor rgb="FFE4E300"/>
          <bgColor rgb="FFE4E300"/>
        </patternFill>
      </fill>
    </dxf>
    <dxf>
      <fill>
        <patternFill patternType="solid">
          <fgColor rgb="FFEEB400"/>
          <bgColor rgb="FFEEB400"/>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9900"/>
          <bgColor rgb="FFFF9900"/>
        </patternFill>
      </fill>
    </dxf>
    <dxf>
      <fill>
        <patternFill patternType="solid">
          <fgColor rgb="FF4685D2"/>
          <bgColor rgb="FF4685D2"/>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949494"/>
          <bgColor rgb="FF949494"/>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F2F2F2"/>
          <bgColor rgb="FFF2F2F2"/>
        </patternFill>
      </fill>
    </dxf>
    <dxf>
      <fill>
        <patternFill patternType="solid">
          <fgColor rgb="FF4685D2"/>
          <bgColor rgb="FF4685D2"/>
        </patternFill>
      </fill>
    </dxf>
    <dxf>
      <fill>
        <patternFill patternType="solid">
          <fgColor rgb="FFD4D4D4"/>
          <bgColor rgb="FFD4D4D4"/>
        </patternFill>
      </fill>
    </dxf>
    <dxf>
      <fill>
        <patternFill patternType="solid">
          <fgColor rgb="FFFF9900"/>
          <bgColor rgb="FFFF9900"/>
        </patternFill>
      </fill>
    </dxf>
    <dxf>
      <fill>
        <patternFill patternType="solid">
          <fgColor rgb="FFF2F2F2"/>
          <bgColor rgb="FFF2F2F2"/>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949494"/>
          <bgColor rgb="FF949494"/>
        </patternFill>
      </fill>
    </dxf>
    <dxf>
      <fill>
        <patternFill patternType="solid">
          <fgColor rgb="FFBFBFBF"/>
          <bgColor rgb="FFBFBFBF"/>
        </patternFill>
      </fill>
    </dxf>
    <dxf>
      <fill>
        <patternFill patternType="solid">
          <fgColor rgb="FF9E004F"/>
          <bgColor rgb="FF9E004F"/>
        </patternFill>
      </fill>
    </dxf>
    <dxf>
      <fill>
        <patternFill patternType="solid">
          <fgColor rgb="FFFF0000"/>
          <bgColor rgb="FFFF0000"/>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FF9900"/>
          <bgColor rgb="FFFF9900"/>
        </patternFill>
      </fill>
    </dxf>
    <dxf>
      <fill>
        <patternFill patternType="solid">
          <fgColor rgb="FFF1F1F1"/>
          <bgColor rgb="FFF1F1F1"/>
        </patternFill>
      </fill>
    </dxf>
    <dxf>
      <fill>
        <patternFill patternType="solid">
          <fgColor rgb="FF4685D2"/>
          <bgColor rgb="FF4685D2"/>
        </patternFill>
      </fill>
    </dxf>
    <dxf>
      <fill>
        <patternFill patternType="solid">
          <fgColor rgb="FFF2F2F2"/>
          <bgColor rgb="FFF2F2F2"/>
        </patternFill>
      </fill>
    </dxf>
    <dxf>
      <fill>
        <patternFill patternType="solid">
          <fgColor rgb="FFBABABA"/>
          <bgColor rgb="FFBABABA"/>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D4D4D4"/>
          <bgColor rgb="FFD4D4D4"/>
        </patternFill>
      </fill>
    </dxf>
    <dxf>
      <fill>
        <patternFill patternType="solid">
          <fgColor rgb="FFB2B2B2"/>
          <bgColor rgb="FFB2B2B2"/>
        </patternFill>
      </fill>
    </dxf>
    <dxf>
      <fill>
        <patternFill patternType="solid">
          <fgColor rgb="FFE1AAA9"/>
          <bgColor rgb="FFE1AAA9"/>
        </patternFill>
      </fill>
    </dxf>
    <dxf>
      <fill>
        <patternFill patternType="solid">
          <fgColor rgb="FFFF0000"/>
          <bgColor rgb="FFFF0000"/>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BABABA"/>
          <bgColor rgb="FFBABABA"/>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FBFBF"/>
          <bgColor rgb="FFBFBFBF"/>
        </patternFill>
      </fill>
    </dxf>
    <dxf>
      <fill>
        <patternFill patternType="solid">
          <fgColor rgb="FFDCC97A"/>
          <bgColor rgb="FFDCC97A"/>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BFBFBF"/>
          <bgColor rgb="FFBFBFB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B2B2B2"/>
          <bgColor rgb="FFB2B2B2"/>
        </patternFill>
      </fill>
    </dxf>
    <dxf>
      <fill>
        <patternFill patternType="solid">
          <fgColor rgb="FFFF0000"/>
          <bgColor rgb="FFFF0000"/>
        </patternFill>
      </fill>
    </dxf>
    <dxf>
      <fill>
        <patternFill patternType="solid">
          <fgColor rgb="FF9E004F"/>
          <bgColor rgb="FF9E004F"/>
        </patternFill>
      </fill>
    </dxf>
    <dxf>
      <fill>
        <patternFill patternType="solid">
          <fgColor rgb="FFDCC97A"/>
          <bgColor rgb="FFDCC97A"/>
        </patternFill>
      </fill>
    </dxf>
    <dxf>
      <fill>
        <patternFill patternType="solid">
          <fgColor rgb="FFBFBFBF"/>
          <bgColor rgb="FFBFBFBF"/>
        </patternFill>
      </fill>
    </dxf>
    <dxf>
      <fill>
        <patternFill patternType="solid">
          <fgColor rgb="FFE1AAA9"/>
          <bgColor rgb="FFE1AAA9"/>
        </patternFill>
      </fill>
    </dxf>
    <dxf>
      <fill>
        <patternFill patternType="solid">
          <fgColor rgb="FFBFBFBF"/>
          <bgColor rgb="FFBFBFBF"/>
        </patternFill>
      </fill>
    </dxf>
    <dxf>
      <fill>
        <patternFill patternType="solid">
          <fgColor rgb="FFDCC97A"/>
          <bgColor rgb="FFDCC97A"/>
        </patternFill>
      </fill>
    </dxf>
    <dxf>
      <fill>
        <patternFill patternType="solid">
          <fgColor rgb="FFE1AAA9"/>
          <bgColor rgb="FFE1AAA9"/>
        </patternFill>
      </fill>
    </dxf>
    <dxf>
      <fill>
        <patternFill patternType="solid">
          <fgColor rgb="FFFF9900"/>
          <bgColor rgb="FFFF9900"/>
        </patternFill>
      </fill>
    </dxf>
    <dxf>
      <fill>
        <patternFill patternType="solid">
          <fgColor rgb="FFBFBFBF"/>
          <bgColor rgb="FFBFBFBF"/>
        </patternFill>
      </fill>
    </dxf>
    <dxf>
      <fill>
        <patternFill patternType="solid">
          <fgColor rgb="FF949494"/>
          <bgColor rgb="FF949494"/>
        </patternFill>
      </fill>
    </dxf>
    <dxf>
      <fill>
        <patternFill patternType="solid">
          <fgColor rgb="FFBFBFBF"/>
          <bgColor rgb="FFBFBFBF"/>
        </patternFill>
      </fill>
    </dxf>
    <dxf>
      <fill>
        <patternFill patternType="solid">
          <fgColor rgb="FFE1AAA9"/>
          <bgColor rgb="FFE1AAA9"/>
        </patternFill>
      </fill>
    </dxf>
    <dxf>
      <fill>
        <patternFill patternType="solid">
          <fgColor rgb="FF949494"/>
          <bgColor rgb="FF949494"/>
        </patternFill>
      </fill>
    </dxf>
    <dxf>
      <fill>
        <patternFill patternType="solid">
          <fgColor rgb="FF949494"/>
          <bgColor rgb="FF949494"/>
        </patternFill>
      </fill>
    </dxf>
    <dxf>
      <fill>
        <patternFill patternType="solid">
          <fgColor rgb="FFF2F2F2"/>
          <bgColor rgb="FFF2F2F2"/>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F0000"/>
          <bgColor rgb="FFFF0000"/>
        </patternFill>
      </fill>
    </dxf>
    <dxf>
      <fill>
        <patternFill patternType="solid">
          <fgColor rgb="FFBABABA"/>
          <bgColor rgb="FFBABABA"/>
        </patternFill>
      </fill>
    </dxf>
    <dxf>
      <fill>
        <patternFill patternType="solid">
          <fgColor rgb="FFE4E300"/>
          <bgColor rgb="FFE4E300"/>
        </patternFill>
      </fill>
    </dxf>
    <dxf>
      <fill>
        <patternFill patternType="solid">
          <fgColor rgb="FFB2B2B2"/>
          <bgColor rgb="FFB2B2B2"/>
        </patternFill>
      </fill>
    </dxf>
    <dxf>
      <fill>
        <patternFill patternType="solid">
          <fgColor rgb="FFFF0000"/>
          <bgColor rgb="FFFF0000"/>
        </patternFill>
      </fill>
    </dxf>
    <dxf>
      <fill>
        <patternFill patternType="solid">
          <fgColor rgb="FFBFBFBF"/>
          <bgColor rgb="FFBFBFBF"/>
        </patternFill>
      </fill>
    </dxf>
    <dxf>
      <fill>
        <patternFill patternType="solid">
          <fgColor rgb="FFBABABA"/>
          <bgColor rgb="FFBABABA"/>
        </patternFill>
      </fill>
    </dxf>
    <dxf>
      <fill>
        <patternFill patternType="solid">
          <fgColor rgb="FFD4D4D4"/>
          <bgColor rgb="FFD4D4D4"/>
        </patternFill>
      </fill>
    </dxf>
    <dxf>
      <fill>
        <patternFill patternType="solid">
          <fgColor rgb="FFF2F2F2"/>
          <bgColor rgb="FFF2F2F2"/>
        </patternFill>
      </fill>
    </dxf>
    <dxf>
      <fill>
        <patternFill patternType="solid">
          <fgColor rgb="FFF1F1F1"/>
          <bgColor rgb="FFF1F1F1"/>
        </patternFill>
      </fill>
    </dxf>
    <dxf>
      <fill>
        <patternFill patternType="solid">
          <fgColor rgb="FFF2F2F2"/>
          <bgColor rgb="FFF2F2F2"/>
        </patternFill>
      </fill>
    </dxf>
    <dxf>
      <fill>
        <patternFill patternType="solid">
          <fgColor rgb="FF4685D2"/>
          <bgColor rgb="FF4685D2"/>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BFBFBF"/>
          <bgColor rgb="FFBFBFBF"/>
        </patternFill>
      </fill>
    </dxf>
    <dxf>
      <fill>
        <patternFill patternType="solid">
          <fgColor rgb="FFDCC97A"/>
          <bgColor rgb="FFDCC97A"/>
        </patternFill>
      </fill>
    </dxf>
    <dxf>
      <fill>
        <patternFill patternType="solid">
          <fgColor rgb="FFB2B2B2"/>
          <bgColor rgb="FFB2B2B2"/>
        </patternFill>
      </fill>
    </dxf>
    <dxf>
      <fill>
        <patternFill patternType="solid">
          <fgColor rgb="FFE1AAA9"/>
          <bgColor rgb="FFE1AAA9"/>
        </patternFill>
      </fill>
    </dxf>
    <dxf>
      <fill>
        <patternFill patternType="solid">
          <fgColor rgb="FF4685D2"/>
          <bgColor rgb="FF4685D2"/>
        </patternFill>
      </fill>
    </dxf>
    <dxf>
      <fill>
        <patternFill patternType="solid">
          <fgColor rgb="FFD4D4D4"/>
          <bgColor rgb="FFD4D4D4"/>
        </patternFill>
      </fill>
    </dxf>
    <dxf>
      <fill>
        <patternFill patternType="solid">
          <fgColor rgb="FFFF9900"/>
          <bgColor rgb="FFFF9900"/>
        </patternFill>
      </fill>
    </dxf>
    <dxf>
      <fill>
        <patternFill patternType="solid">
          <fgColor rgb="FF4685D2"/>
          <bgColor rgb="FF4685D2"/>
        </patternFill>
      </fill>
    </dxf>
    <dxf>
      <fill>
        <patternFill patternType="solid">
          <fgColor rgb="FFFF9900"/>
          <bgColor rgb="FFFF9900"/>
        </patternFill>
      </fill>
    </dxf>
    <dxf>
      <fill>
        <patternFill patternType="solid">
          <fgColor rgb="FFBFBFBF"/>
          <bgColor rgb="FFBFBFBF"/>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EEB400"/>
          <bgColor rgb="FFEEB400"/>
        </patternFill>
      </fill>
    </dxf>
    <dxf>
      <fill>
        <patternFill patternType="solid">
          <fgColor rgb="FFE4E300"/>
          <bgColor rgb="FFE4E300"/>
        </patternFill>
      </fill>
    </dxf>
    <dxf>
      <fill>
        <patternFill patternType="solid">
          <fgColor rgb="FFB2B2B2"/>
          <bgColor rgb="FFB2B2B2"/>
        </patternFill>
      </fill>
    </dxf>
    <dxf>
      <fill>
        <patternFill patternType="solid">
          <fgColor rgb="FFFF9900"/>
          <bgColor rgb="FFFF9900"/>
        </patternFill>
      </fill>
    </dxf>
    <dxf>
      <fill>
        <patternFill patternType="solid">
          <fgColor rgb="FFE4E300"/>
          <bgColor rgb="FFE4E300"/>
        </patternFill>
      </fill>
    </dxf>
    <dxf>
      <fill>
        <patternFill patternType="solid">
          <fgColor rgb="FFFF0000"/>
          <bgColor rgb="FFFF0000"/>
        </patternFill>
      </fill>
    </dxf>
    <dxf>
      <fill>
        <patternFill patternType="solid">
          <fgColor rgb="FFEEB400"/>
          <bgColor rgb="FFEEB400"/>
        </patternFill>
      </fill>
    </dxf>
    <dxf>
      <fill>
        <patternFill patternType="solid">
          <fgColor rgb="FFDCC97A"/>
          <bgColor rgb="FFDCC97A"/>
        </patternFill>
      </fill>
    </dxf>
    <dxf>
      <fill>
        <patternFill patternType="solid">
          <fgColor rgb="FFBFBFBF"/>
          <bgColor rgb="FFBFBFBF"/>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9E004F"/>
          <bgColor rgb="FF9E004F"/>
        </patternFill>
      </fill>
    </dxf>
    <dxf>
      <fill>
        <patternFill patternType="solid">
          <fgColor rgb="FF4685D2"/>
          <bgColor rgb="FF4685D2"/>
        </patternFill>
      </fill>
    </dxf>
    <dxf>
      <fill>
        <patternFill patternType="solid">
          <fgColor rgb="FF949494"/>
          <bgColor rgb="FF949494"/>
        </patternFill>
      </fill>
    </dxf>
    <dxf>
      <fill>
        <patternFill patternType="solid">
          <fgColor rgb="FFF1F1F1"/>
          <bgColor rgb="FFF1F1F1"/>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BABABA"/>
          <bgColor rgb="FFBABABA"/>
        </patternFill>
      </fill>
    </dxf>
    <dxf>
      <fill>
        <patternFill patternType="solid">
          <fgColor rgb="FFBFBFBF"/>
          <bgColor rgb="FFBFBFBF"/>
        </patternFill>
      </fill>
    </dxf>
    <dxf>
      <fill>
        <patternFill patternType="solid">
          <fgColor rgb="FFDCC97A"/>
          <bgColor rgb="FFDCC97A"/>
        </patternFill>
      </fill>
    </dxf>
    <dxf>
      <fill>
        <patternFill patternType="solid">
          <fgColor rgb="FF949494"/>
          <bgColor rgb="FF949494"/>
        </patternFill>
      </fill>
    </dxf>
    <dxf>
      <fill>
        <patternFill patternType="solid">
          <fgColor rgb="FFE1AAA9"/>
          <bgColor rgb="FFE1AAA9"/>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E4E300"/>
          <bgColor rgb="FFE4E300"/>
        </patternFill>
      </fill>
    </dxf>
    <dxf>
      <fill>
        <patternFill patternType="solid">
          <fgColor rgb="FFB2B2B2"/>
          <bgColor rgb="FFB2B2B2"/>
        </patternFill>
      </fill>
    </dxf>
    <dxf>
      <fill>
        <patternFill patternType="solid">
          <fgColor rgb="FF9E004F"/>
          <bgColor rgb="FF9E004F"/>
        </patternFill>
      </fill>
    </dxf>
    <dxf>
      <fill>
        <patternFill patternType="solid">
          <fgColor rgb="FFFF9900"/>
          <bgColor rgb="FFFF9900"/>
        </patternFill>
      </fill>
    </dxf>
    <dxf>
      <fill>
        <patternFill patternType="solid">
          <fgColor rgb="FF949494"/>
          <bgColor rgb="FF949494"/>
        </patternFill>
      </fill>
    </dxf>
    <dxf>
      <fill>
        <patternFill patternType="solid">
          <fgColor rgb="FFB2B2B2"/>
          <bgColor rgb="FFB2B2B2"/>
        </patternFill>
      </fill>
    </dxf>
    <dxf>
      <font>
        <b/>
        <color theme="0"/>
      </font>
      <fill>
        <patternFill patternType="solid">
          <fgColor rgb="FF000000"/>
          <bgColor rgb="FF000000"/>
        </patternFill>
      </fill>
      <border>
        <top style="thin">
          <color rgb="FF000000"/>
        </top>
        <bottom style="thin">
          <color rgb="FF000000"/>
        </bottom>
      </border>
    </dxf>
    <dxf>
      <fill>
        <patternFill patternType="solid">
          <fgColor rgb="FFE1AAA9"/>
          <bgColor rgb="FFE1AAA9"/>
        </patternFill>
      </fill>
    </dxf>
    <dxf>
      <fill>
        <patternFill patternType="solid">
          <fgColor rgb="FFFF9900"/>
          <bgColor rgb="FFFF9900"/>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BABABA"/>
          <bgColor rgb="FFBABABA"/>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2B2B2"/>
          <bgColor rgb="FFB2B2B2"/>
        </patternFill>
      </fill>
    </dxf>
    <dxf>
      <fill>
        <patternFill patternType="solid">
          <fgColor rgb="FFEEB400"/>
          <bgColor rgb="FFEEB400"/>
        </patternFill>
      </fill>
    </dxf>
    <dxf>
      <fill>
        <patternFill patternType="solid">
          <fgColor rgb="FFEEB400"/>
          <bgColor rgb="FFEEB400"/>
        </patternFill>
      </fill>
    </dxf>
    <dxf>
      <fill>
        <patternFill patternType="solid">
          <fgColor rgb="FFE1AAA9"/>
          <bgColor rgb="FFE1AAA9"/>
        </patternFill>
      </fill>
    </dxf>
    <dxf>
      <fill>
        <patternFill patternType="solid">
          <fgColor rgb="FFFF9900"/>
          <bgColor rgb="FFFF9900"/>
        </patternFill>
      </fill>
    </dxf>
    <dxf>
      <fill>
        <patternFill patternType="solid">
          <fgColor rgb="FF949494"/>
          <bgColor rgb="FF949494"/>
        </patternFill>
      </fill>
    </dxf>
    <dxf>
      <fill>
        <patternFill patternType="solid">
          <fgColor rgb="FFF2F2F2"/>
          <bgColor rgb="FFF2F2F2"/>
        </patternFill>
      </fill>
    </dxf>
    <dxf>
      <fill>
        <patternFill patternType="solid">
          <fgColor rgb="FFFF0000"/>
          <bgColor rgb="FFFF0000"/>
        </patternFill>
      </fill>
    </dxf>
    <dxf>
      <fill>
        <patternFill patternType="solid">
          <fgColor rgb="FFD4D4D4"/>
          <bgColor rgb="FFD4D4D4"/>
        </patternFill>
      </fill>
    </dxf>
    <dxf>
      <fill>
        <patternFill patternType="solid">
          <fgColor rgb="FFDCC97A"/>
          <bgColor rgb="FFDCC97A"/>
        </patternFill>
      </fill>
    </dxf>
    <dxf>
      <fill>
        <patternFill patternType="solid">
          <fgColor rgb="FFBFBFBF"/>
          <bgColor rgb="FFBFBFBF"/>
        </patternFill>
      </fill>
    </dxf>
    <dxf>
      <fill>
        <patternFill patternType="solid">
          <fgColor rgb="FF9E004F"/>
          <bgColor rgb="FF9E004F"/>
        </patternFill>
      </fill>
    </dxf>
    <dxf>
      <fill>
        <patternFill patternType="solid">
          <fgColor rgb="FFE1AAA9"/>
          <bgColor rgb="FFE1AAA9"/>
        </patternFill>
      </fill>
    </dxf>
    <dxf>
      <fill>
        <patternFill patternType="solid">
          <fgColor rgb="FFEEB400"/>
          <bgColor rgb="FFEEB400"/>
        </patternFill>
      </fill>
    </dxf>
    <dxf>
      <fill>
        <patternFill patternType="solid">
          <fgColor rgb="FFFF9900"/>
          <bgColor rgb="FFFF9900"/>
        </patternFill>
      </fill>
    </dxf>
    <dxf>
      <fill>
        <patternFill patternType="solid">
          <fgColor rgb="FF949494"/>
          <bgColor rgb="FF949494"/>
        </patternFill>
      </fill>
    </dxf>
    <dxf>
      <fill>
        <patternFill patternType="solid">
          <fgColor rgb="FFBFBFBF"/>
          <bgColor rgb="FFBFBFBF"/>
        </patternFill>
      </fill>
    </dxf>
    <dxf>
      <fill>
        <patternFill patternType="solid">
          <fgColor rgb="FFB2B2B2"/>
          <bgColor rgb="FFB2B2B2"/>
        </patternFill>
      </fill>
    </dxf>
    <dxf>
      <fill>
        <patternFill patternType="solid">
          <fgColor rgb="FF4685D2"/>
          <bgColor rgb="FF4685D2"/>
        </patternFill>
      </fill>
    </dxf>
    <dxf>
      <fill>
        <patternFill patternType="solid">
          <fgColor rgb="FFF1F1F1"/>
          <bgColor rgb="FFF1F1F1"/>
        </patternFill>
      </fill>
    </dxf>
    <dxf>
      <fill>
        <patternFill patternType="solid">
          <fgColor rgb="FFFF9900"/>
          <bgColor rgb="FFFF9900"/>
        </patternFill>
      </fill>
    </dxf>
    <dxf>
      <fill>
        <patternFill patternType="solid">
          <fgColor rgb="FFE4E300"/>
          <bgColor rgb="FFE4E300"/>
        </patternFill>
      </fill>
    </dxf>
    <dxf>
      <fill>
        <patternFill patternType="solid">
          <fgColor rgb="FFEEB400"/>
          <bgColor rgb="FFEEB400"/>
        </patternFill>
      </fill>
    </dxf>
    <dxf>
      <fill>
        <patternFill patternType="solid">
          <fgColor rgb="FFBABABA"/>
          <bgColor rgb="FFBABABA"/>
        </patternFill>
      </fill>
    </dxf>
    <dxf>
      <fill>
        <patternFill patternType="solid">
          <fgColor rgb="FFEEB400"/>
          <bgColor rgb="FFEEB400"/>
        </patternFill>
      </fill>
    </dxf>
    <dxf>
      <fill>
        <patternFill patternType="solid">
          <fgColor rgb="FFFF9900"/>
          <bgColor rgb="FFFF9900"/>
        </patternFill>
      </fill>
    </dxf>
    <dxf>
      <fill>
        <patternFill patternType="solid">
          <fgColor rgb="FF949494"/>
          <bgColor rgb="FF949494"/>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DCC97A"/>
          <bgColor rgb="FFDCC97A"/>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BFBFBF"/>
          <bgColor rgb="FFBFBFBF"/>
        </patternFill>
      </fill>
    </dxf>
    <dxf>
      <fill>
        <patternFill patternType="solid">
          <fgColor rgb="FFDCC97A"/>
          <bgColor rgb="FFDCC97A"/>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BABABA"/>
          <bgColor rgb="FFBABABA"/>
        </patternFill>
      </fill>
    </dxf>
    <dxf>
      <fill>
        <patternFill patternType="solid">
          <fgColor rgb="FFE4E300"/>
          <bgColor rgb="FFE4E300"/>
        </patternFill>
      </fill>
    </dxf>
    <dxf>
      <fill>
        <patternFill patternType="solid">
          <fgColor rgb="FFB2B2B2"/>
          <bgColor rgb="FFB2B2B2"/>
        </patternFill>
      </fill>
    </dxf>
    <dxf>
      <fill>
        <patternFill patternType="solid">
          <fgColor rgb="FF9E004F"/>
          <bgColor rgb="FF9E004F"/>
        </patternFill>
      </fill>
    </dxf>
    <dxf>
      <fill>
        <patternFill patternType="solid">
          <fgColor rgb="FFBFBFBF"/>
          <bgColor rgb="FFBFBFBF"/>
        </patternFill>
      </fill>
    </dxf>
    <dxf>
      <fill>
        <patternFill patternType="solid">
          <fgColor rgb="FFE1AAA9"/>
          <bgColor rgb="FFE1AAA9"/>
        </patternFill>
      </fill>
    </dxf>
    <dxf>
      <fill>
        <patternFill patternType="solid">
          <fgColor rgb="FFEEB400"/>
          <bgColor rgb="FFEEB400"/>
        </patternFill>
      </fill>
    </dxf>
    <dxf>
      <fill>
        <patternFill patternType="solid">
          <fgColor rgb="FFFF9900"/>
          <bgColor rgb="FFFF9900"/>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BABABA"/>
          <bgColor rgb="FFBABABA"/>
        </patternFill>
      </fill>
    </dxf>
    <dxf>
      <fill>
        <patternFill patternType="solid">
          <fgColor rgb="FFDCC97A"/>
          <bgColor rgb="FFDCC97A"/>
        </patternFill>
      </fill>
    </dxf>
    <dxf>
      <fill>
        <patternFill patternType="solid">
          <fgColor rgb="FFE4E300"/>
          <bgColor rgb="FFE4E300"/>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BABABA"/>
          <bgColor rgb="FFBABABA"/>
        </patternFill>
      </fill>
    </dxf>
    <dxf>
      <fill>
        <patternFill patternType="solid">
          <fgColor rgb="FFDCC97A"/>
          <bgColor rgb="FFDCC97A"/>
        </patternFill>
      </fill>
    </dxf>
    <dxf>
      <fill>
        <patternFill patternType="solid">
          <fgColor rgb="FF9E004F"/>
          <bgColor rgb="FF9E004F"/>
        </patternFill>
      </fill>
    </dxf>
    <dxf>
      <fill>
        <patternFill patternType="solid">
          <fgColor rgb="FFE4E300"/>
          <bgColor rgb="FFE4E300"/>
        </patternFill>
      </fill>
    </dxf>
    <dxf>
      <fill>
        <patternFill patternType="solid">
          <fgColor rgb="FFB2B2B2"/>
          <bgColor rgb="FFB2B2B2"/>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BABABA"/>
          <bgColor rgb="FFBABABA"/>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2B2B2"/>
          <bgColor rgb="FFB2B2B2"/>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BABABA"/>
          <bgColor rgb="FFBABABA"/>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2B2B2"/>
          <bgColor rgb="FFB2B2B2"/>
        </patternFill>
      </fill>
    </dxf>
    <dxf>
      <fill>
        <patternFill patternType="solid">
          <fgColor rgb="FF9E004F"/>
          <bgColor rgb="FF9E004F"/>
        </patternFill>
      </fill>
    </dxf>
    <dxf>
      <fill>
        <patternFill patternType="solid">
          <fgColor rgb="FFBFBFBF"/>
          <bgColor rgb="FFBFBFBF"/>
        </patternFill>
      </fill>
    </dxf>
    <dxf>
      <fill>
        <patternFill patternType="solid">
          <fgColor rgb="FFFF0000"/>
          <bgColor rgb="FFFF0000"/>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BABABA"/>
          <bgColor rgb="FFBABABA"/>
        </patternFill>
      </fill>
    </dxf>
    <dxf>
      <fill>
        <patternFill patternType="solid">
          <fgColor rgb="FFE4E300"/>
          <bgColor rgb="FFE4E300"/>
        </patternFill>
      </fill>
    </dxf>
    <dxf>
      <fill>
        <patternFill patternType="solid">
          <fgColor rgb="FFB2B2B2"/>
          <bgColor rgb="FFB2B2B2"/>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2F2F2"/>
          <bgColor rgb="FFF2F2F2"/>
        </patternFill>
      </fill>
    </dxf>
    <dxf>
      <fill>
        <patternFill patternType="solid">
          <fgColor rgb="FFFF0000"/>
          <bgColor rgb="FFFF0000"/>
        </patternFill>
      </fill>
    </dxf>
    <dxf>
      <fill>
        <patternFill patternType="solid">
          <fgColor rgb="FFBABABA"/>
          <bgColor rgb="FFBABABA"/>
        </patternFill>
      </fill>
    </dxf>
    <dxf>
      <fill>
        <patternFill patternType="solid">
          <fgColor rgb="FFBFBFBF"/>
          <bgColor rgb="FFBFBFBF"/>
        </patternFill>
      </fill>
    </dxf>
    <dxf>
      <fill>
        <patternFill patternType="solid">
          <fgColor rgb="FFDCC97A"/>
          <bgColor rgb="FFDCC97A"/>
        </patternFill>
      </fill>
    </dxf>
    <dxf>
      <fill>
        <patternFill patternType="solid">
          <fgColor rgb="FFE4E300"/>
          <bgColor rgb="FFE4E300"/>
        </patternFill>
      </fill>
    </dxf>
    <dxf>
      <fill>
        <patternFill patternType="solid">
          <fgColor rgb="FFB2B2B2"/>
          <bgColor rgb="FFB2B2B2"/>
        </patternFill>
      </fill>
    </dxf>
    <dxf>
      <fill>
        <patternFill patternType="solid">
          <fgColor rgb="FFE1AAA9"/>
          <bgColor rgb="FFE1AAA9"/>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949494"/>
          <bgColor rgb="FF949494"/>
        </patternFill>
      </fill>
    </dxf>
    <dxf>
      <fill>
        <patternFill patternType="solid">
          <fgColor rgb="FFF1F1F1"/>
          <bgColor rgb="FFF1F1F1"/>
        </patternFill>
      </fill>
    </dxf>
    <dxf>
      <fill>
        <patternFill patternType="solid">
          <fgColor rgb="FF4685D2"/>
          <bgColor rgb="FF4685D2"/>
        </patternFill>
      </fill>
    </dxf>
    <dxf>
      <fill>
        <patternFill patternType="solid">
          <fgColor rgb="FFD4D4D4"/>
          <bgColor rgb="FFD4D4D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93" Type="http://schemas.openxmlformats.org/officeDocument/2006/relationships/customXml" Target="../customXml/item2.xml"/><Relationship Id="rId3" Type="http://schemas.openxmlformats.org/officeDocument/2006/relationships/worksheet" Target="worksheets/sheet3.xml"/><Relationship Id="rId89" Type="http://schemas.openxmlformats.org/officeDocument/2006/relationships/sharedStrings" Target="sharedStrings.xml"/><Relationship Id="rId92" Type="http://schemas.openxmlformats.org/officeDocument/2006/relationships/customXml" Target="../customXml/item1.xml"/><Relationship Id="rId2" Type="http://schemas.openxmlformats.org/officeDocument/2006/relationships/worksheet" Target="worksheets/sheet2.xml"/><Relationship Id="rId88" Type="http://schemas.openxmlformats.org/officeDocument/2006/relationships/styles" Target="styles.xml"/><Relationship Id="rId91" Type="http://schemas.openxmlformats.org/officeDocument/2006/relationships/calcChain" Target="calcChain.xml"/><Relationship Id="rId1" Type="http://schemas.openxmlformats.org/officeDocument/2006/relationships/worksheet" Target="worksheets/sheet1.xml"/><Relationship Id="rId87" Type="http://schemas.openxmlformats.org/officeDocument/2006/relationships/theme" Target="theme/theme1.xml"/><Relationship Id="rId5" Type="http://schemas.openxmlformats.org/officeDocument/2006/relationships/worksheet" Target="worksheets/sheet5.xml"/><Relationship Id="rId90" Type="http://schemas.microsoft.com/office/2017/10/relationships/person" Target="persons/person.xml"/><Relationship Id="rId86" Type="http://customschemas.google.com/relationships/workbookmetadata" Target="metadata"/><Relationship Id="rId94" Type="http://schemas.openxmlformats.org/officeDocument/2006/relationships/customXml" Target="../customXml/item3.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oneCellAnchor>
    <xdr:from>
      <xdr:col>0</xdr:col>
      <xdr:colOff>174663</xdr:colOff>
      <xdr:row>2</xdr:row>
      <xdr:rowOff>55428</xdr:rowOff>
    </xdr:from>
    <xdr:ext cx="2524125" cy="2828925"/>
    <xdr:sp macro="" textlink="">
      <xdr:nvSpPr>
        <xdr:cNvPr id="2" name="Shape 3">
          <a:extLst>
            <a:ext uri="{FF2B5EF4-FFF2-40B4-BE49-F238E27FC236}">
              <a16:creationId xmlns:a16="http://schemas.microsoft.com/office/drawing/2014/main" id="{00000000-0008-0000-0100-000003000000}"/>
            </a:ext>
          </a:extLst>
        </xdr:cNvPr>
        <xdr:cNvSpPr/>
      </xdr:nvSpPr>
      <xdr:spPr>
        <a:xfrm>
          <a:off x="174663" y="376753"/>
          <a:ext cx="2524125" cy="2828925"/>
        </a:xfrm>
        <a:prstGeom prst="rect">
          <a:avLst/>
        </a:prstGeom>
        <a:solidFill>
          <a:schemeClr val="lt1"/>
        </a:solidFill>
        <a:ln w="25400" cap="flat" cmpd="sng">
          <a:solidFill>
            <a:schemeClr val="accent6"/>
          </a:solidFill>
          <a:prstDash val="solid"/>
          <a:round/>
          <a:headEnd type="none" w="sm" len="sm"/>
          <a:tailEnd type="none" w="sm" len="sm"/>
        </a:ln>
      </xdr:spPr>
      <xdr:txBody>
        <a:bodyPr spcFirstLastPara="1" wrap="square" lIns="18275" tIns="0" rIns="0" bIns="0" anchor="ctr" anchorCtr="0">
          <a:noAutofit/>
        </a:bodyPr>
        <a:lstStyle/>
        <a:p>
          <a:pPr marL="0" lvl="0" indent="0" algn="l" rtl="0">
            <a:spcBef>
              <a:spcPts val="0"/>
            </a:spcBef>
            <a:spcAft>
              <a:spcPts val="0"/>
            </a:spcAft>
            <a:buNone/>
          </a:pPr>
          <a:r>
            <a:rPr lang="en-US" sz="1100" i="1">
              <a:solidFill>
                <a:srgbClr val="C00000"/>
              </a:solidFill>
              <a:latin typeface="Calibri"/>
              <a:ea typeface="Calibri"/>
              <a:cs typeface="Calibri"/>
              <a:sym typeface="Calibri"/>
            </a:rPr>
            <a:t>User: See NOTES column B for indication of where country-specific tailoring/ context is needed. Notes here also provide some detail on how this questionnaire maps to the Indicator Table. </a:t>
          </a:r>
          <a:endParaRPr lang="en-US" sz="1400"/>
        </a:p>
        <a:p>
          <a:pPr marL="0" lvl="0" indent="0" algn="l" rtl="0">
            <a:spcBef>
              <a:spcPts val="0"/>
            </a:spcBef>
            <a:spcAft>
              <a:spcPts val="0"/>
            </a:spcAft>
            <a:buNone/>
          </a:pPr>
          <a:endParaRPr lang="en-US" sz="1100" i="1">
            <a:solidFill>
              <a:srgbClr val="C00000"/>
            </a:solidFill>
          </a:endParaRPr>
        </a:p>
        <a:p>
          <a:pPr marL="0" lvl="0" indent="0" algn="l" rtl="0">
            <a:spcBef>
              <a:spcPts val="0"/>
            </a:spcBef>
            <a:spcAft>
              <a:spcPts val="0"/>
            </a:spcAft>
            <a:buNone/>
          </a:pPr>
          <a:r>
            <a:rPr lang="en-US" sz="1100" i="1">
              <a:solidFill>
                <a:srgbClr val="C00000"/>
              </a:solidFill>
              <a:latin typeface="Calibri"/>
              <a:ea typeface="Calibri"/>
              <a:cs typeface="Calibri"/>
              <a:sym typeface="Calibri"/>
            </a:rPr>
            <a:t>Modules and sections are grouped. Use the +/- to the left of Column A to navigate through the form</a:t>
          </a:r>
          <a:endParaRPr lang="en-US" sz="1400"/>
        </a:p>
        <a:p>
          <a:pPr marL="0" lvl="0" indent="0" algn="l" rtl="0">
            <a:spcBef>
              <a:spcPts val="0"/>
            </a:spcBef>
            <a:spcAft>
              <a:spcPts val="0"/>
            </a:spcAft>
            <a:buNone/>
          </a:pPr>
          <a:endParaRPr lang="en-US" sz="1100" i="1">
            <a:solidFill>
              <a:srgbClr val="C00000"/>
            </a:solidFill>
          </a:endParaRPr>
        </a:p>
        <a:p>
          <a:pPr marL="0" lvl="0" indent="0" algn="l" rtl="0">
            <a:spcBef>
              <a:spcPts val="0"/>
            </a:spcBef>
            <a:spcAft>
              <a:spcPts val="0"/>
            </a:spcAft>
            <a:buNone/>
          </a:pPr>
          <a:r>
            <a:rPr lang="en-US" sz="1100" i="1">
              <a:solidFill>
                <a:srgbClr val="C00000"/>
              </a:solidFill>
              <a:latin typeface="Calibri"/>
              <a:ea typeface="Calibri"/>
              <a:cs typeface="Calibri"/>
              <a:sym typeface="Calibri"/>
            </a:rPr>
            <a:t>This ODK XLSForm has been tested using SurveyCTO and Kobo Collect. If you are using a different server type, some edits/ translation may be required. </a:t>
          </a:r>
          <a:endParaRPr sz="1100" i="1">
            <a:solidFill>
              <a:srgbClr val="C00000"/>
            </a:solidFill>
          </a:endParaRPr>
        </a:p>
      </xdr:txBody>
    </xdr:sp>
    <xdr:clientData fLocksWithSheet="0"/>
  </xdr:oneCellAnchor>
</xdr:wsDr>
</file>

<file path=xl/persons/person.xml><?xml version="1.0" encoding="utf-8"?>
<personList xmlns="http://schemas.microsoft.com/office/spreadsheetml/2018/threadedcomments" xmlns:x="http://schemas.openxmlformats.org/spreadsheetml/2006/main">
  <person displayName="sarah.m.burnett@gmail.com" id="{8EF82FFE-154B-4345-A8A3-57F6F3C4F220}" userId="S::urn:spo:guest#sarah.m.burnett@gmail.com::"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DDDDDD"/>
      </a:accent1>
      <a:accent2>
        <a:srgbClr val="B2B2B2"/>
      </a:accent2>
      <a:accent3>
        <a:srgbClr val="969696"/>
      </a:accent3>
      <a:accent4>
        <a:srgbClr val="808080"/>
      </a:accent4>
      <a:accent5>
        <a:srgbClr val="5F5F5F"/>
      </a:accent5>
      <a:accent6>
        <a:srgbClr val="4D4D4D"/>
      </a:accent6>
      <a:hlink>
        <a:srgbClr val="5F5F5F"/>
      </a:hlink>
      <a:folHlink>
        <a:srgbClr val="5F5F5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92" dT="2025-06-30T17:09:36.80" personId="{8EF82FFE-154B-4345-A8A3-57F6F3C4F220}" id="{979FEB88-35ED-42A4-B16D-72A8EA51F86E}">
    <text xml:space="preserve">Should these be combined? I know in Nigeria it was common for PPMVs to be registered but not licensed because the license only lasted 2 yeas and it took so long to get it. Do they have to have both to answer yes to this? </text>
  </threadedComment>
  <threadedComment ref="H120" dT="2025-06-30T17:12:49.75" personId="{8EF82FFE-154B-4345-A8A3-57F6F3C4F220}" id="{7B7DB403-13A6-49C7-8232-9390A5B0565F}">
    <text xml:space="preserve">Should "Observe" be added for these three as it is done for RDT storage below? </text>
  </threadedComment>
  <threadedComment ref="H141" dT="2025-06-30T17:14:59.47" personId="{8EF82FFE-154B-4345-A8A3-57F6F3C4F220}" id="{7BD52E1E-3F97-45DC-9E5B-44371D95324F}">
    <text xml:space="preserve">I don't understand the sub question. A provider could have different responses to what is recommended by the government and what they think works best. Are they only supposed to ask the second part fi they don't have an answer to the first part? What do we want to know with this question? </text>
  </threadedComment>
  <threadedComment ref="H142" dT="2025-06-30T17:18:07.77" personId="{8EF82FFE-154B-4345-A8A3-57F6F3C4F220}" id="{BE559381-BF24-43F3-BA00-051DB1A2376A}">
    <text xml:space="preserve">How are they getting the generic name and dosage from the provider? What if they name a brand name is there a way to search this? Do they ask which "dosage form" and that makes sense to the providers or do they read the list? </text>
  </threadedComment>
  <threadedComment ref="H173" dT="2025-06-30T17:21:26.33" personId="{8EF82FFE-154B-4345-A8A3-57F6F3C4F220}" id="{4EB8AF6F-099D-4DDF-B111-EF91688455E9}">
    <text>What is included in the term "managing sales"? If I use mobile money to receive money from clients does that count? What other activities would count?</text>
  </threadedComment>
  <threadedComment ref="H205" dT="2025-06-30T17:25:34.66" personId="{8EF82FFE-154B-4345-A8A3-57F6F3C4F220}" id="{D038897E-2F87-4351-A3C8-B3D62C34F90B}">
    <text xml:space="preserve">Does the slash mean antimalarials OR RDTs?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2003E-A4CC-4962-9CE6-6470C7E174F8}">
  <sheetPr>
    <tabColor rgb="FF00B050"/>
  </sheetPr>
  <dimension ref="A1:Z35"/>
  <sheetViews>
    <sheetView showGridLines="0" topLeftCell="A23" zoomScaleNormal="100" workbookViewId="0">
      <selection activeCell="C16" sqref="C16"/>
    </sheetView>
  </sheetViews>
  <sheetFormatPr defaultColWidth="9.140625" defaultRowHeight="0" customHeight="1" zeroHeight="1" x14ac:dyDescent="0.2"/>
  <cols>
    <col min="1" max="1" width="9.140625" style="102" customWidth="1"/>
    <col min="2" max="2" width="26.7109375" style="91" customWidth="1"/>
    <col min="3" max="3" width="68.28515625" style="92" customWidth="1"/>
    <col min="4" max="4" width="110.42578125" style="92" customWidth="1"/>
    <col min="5" max="5" width="9.85546875" style="93" customWidth="1"/>
    <col min="6" max="6" width="9.140625" style="93" customWidth="1"/>
    <col min="7" max="7" width="9.140625" style="102" customWidth="1"/>
    <col min="8" max="16384" width="9.140625" style="102"/>
  </cols>
  <sheetData>
    <row r="1" spans="1:26" ht="20.25" customHeight="1" x14ac:dyDescent="0.2"/>
    <row r="2" spans="1:26" s="93" customFormat="1" ht="20.25" customHeight="1" x14ac:dyDescent="0.2">
      <c r="B2" s="94" t="s">
        <v>0</v>
      </c>
      <c r="C2" s="92"/>
      <c r="D2" s="92"/>
    </row>
    <row r="3" spans="1:26" customFormat="1" ht="20.25" customHeight="1" x14ac:dyDescent="0.2">
      <c r="A3" s="1"/>
      <c r="B3" s="4" t="s">
        <v>1</v>
      </c>
      <c r="C3" s="2"/>
      <c r="D3" s="2"/>
      <c r="E3" s="3"/>
      <c r="F3" s="3"/>
      <c r="G3" s="3"/>
      <c r="H3" s="3"/>
      <c r="I3" s="1"/>
      <c r="J3" s="3"/>
      <c r="K3" s="3"/>
      <c r="L3" s="3"/>
      <c r="M3" s="3"/>
      <c r="N3" s="3"/>
      <c r="O3" s="3"/>
      <c r="P3" s="3"/>
      <c r="Q3" s="3"/>
      <c r="R3" s="3"/>
      <c r="S3" s="3"/>
      <c r="T3" s="3"/>
      <c r="U3" s="3"/>
      <c r="V3" s="3"/>
      <c r="W3" s="3"/>
      <c r="X3" s="3"/>
      <c r="Y3" s="3"/>
      <c r="Z3" s="3"/>
    </row>
    <row r="4" spans="1:26" customFormat="1" ht="20.25" customHeight="1" x14ac:dyDescent="0.2">
      <c r="A4" s="1"/>
      <c r="B4" s="5" t="s">
        <v>2</v>
      </c>
      <c r="C4" s="2"/>
      <c r="D4" s="2"/>
      <c r="E4" s="3"/>
      <c r="F4" s="3"/>
      <c r="G4" s="3"/>
      <c r="H4" s="3"/>
      <c r="I4" s="1"/>
      <c r="J4" s="3"/>
      <c r="K4" s="3"/>
      <c r="L4" s="3"/>
      <c r="M4" s="3"/>
      <c r="N4" s="3"/>
      <c r="O4" s="3"/>
      <c r="P4" s="3"/>
      <c r="Q4" s="3"/>
      <c r="R4" s="3"/>
      <c r="S4" s="3"/>
      <c r="T4" s="3"/>
      <c r="U4" s="3"/>
      <c r="V4" s="3"/>
      <c r="W4" s="3"/>
      <c r="X4" s="3"/>
      <c r="Y4" s="3"/>
      <c r="Z4" s="3"/>
    </row>
    <row r="5" spans="1:26" s="93" customFormat="1" ht="20.25" customHeight="1" x14ac:dyDescent="0.2">
      <c r="B5" s="95"/>
      <c r="C5" s="92"/>
      <c r="D5" s="92"/>
    </row>
    <row r="6" spans="1:26" s="93" customFormat="1" ht="20.25" customHeight="1" x14ac:dyDescent="0.2">
      <c r="B6" s="91"/>
      <c r="C6" s="96" t="s">
        <v>3</v>
      </c>
      <c r="D6" s="96"/>
    </row>
    <row r="7" spans="1:26" s="93" customFormat="1" ht="249" customHeight="1" x14ac:dyDescent="0.2">
      <c r="B7" s="97" t="s">
        <v>4</v>
      </c>
      <c r="C7" s="162" t="s">
        <v>2549</v>
      </c>
      <c r="D7" s="162"/>
      <c r="E7" s="98"/>
    </row>
    <row r="8" spans="1:26" s="93" customFormat="1" ht="28.5" x14ac:dyDescent="0.2">
      <c r="B8" s="91"/>
      <c r="C8" s="160"/>
      <c r="D8" s="160"/>
    </row>
    <row r="9" spans="1:26" s="93" customFormat="1" ht="136.5" customHeight="1" x14ac:dyDescent="0.2">
      <c r="B9" s="97" t="s">
        <v>5</v>
      </c>
      <c r="C9" s="162" t="s">
        <v>6</v>
      </c>
      <c r="D9" s="162"/>
      <c r="E9" s="98"/>
    </row>
    <row r="10" spans="1:26" s="93" customFormat="1" ht="28.5" x14ac:dyDescent="0.2">
      <c r="B10" s="91"/>
      <c r="C10" s="160"/>
      <c r="D10" s="160"/>
    </row>
    <row r="11" spans="1:26" s="93" customFormat="1" ht="57" x14ac:dyDescent="0.2">
      <c r="B11" s="103" t="s">
        <v>7</v>
      </c>
      <c r="C11" s="157"/>
      <c r="D11" s="157"/>
      <c r="E11" s="104"/>
    </row>
    <row r="12" spans="1:26" customFormat="1" ht="15.75" customHeight="1" x14ac:dyDescent="0.2">
      <c r="A12" s="1"/>
      <c r="B12" s="105"/>
      <c r="C12" s="155" t="s">
        <v>8</v>
      </c>
      <c r="D12" s="156" t="s">
        <v>9</v>
      </c>
      <c r="E12" s="106"/>
      <c r="F12" s="3"/>
      <c r="G12" s="3"/>
      <c r="H12" s="3"/>
      <c r="I12" s="1"/>
      <c r="J12" s="1"/>
      <c r="K12" s="1"/>
      <c r="L12" s="1"/>
      <c r="M12" s="1"/>
      <c r="N12" s="1"/>
      <c r="O12" s="1"/>
      <c r="P12" s="1"/>
      <c r="Q12" s="1"/>
      <c r="R12" s="1"/>
      <c r="S12" s="1"/>
      <c r="T12" s="1"/>
      <c r="U12" s="1"/>
      <c r="V12" s="1"/>
      <c r="W12" s="1"/>
      <c r="X12" s="1"/>
      <c r="Y12" s="1"/>
      <c r="Z12" s="1"/>
    </row>
    <row r="13" spans="1:26" customFormat="1" ht="15.75" customHeight="1" x14ac:dyDescent="0.2">
      <c r="A13" s="1"/>
      <c r="B13" s="105"/>
      <c r="C13" s="155" t="s">
        <v>10</v>
      </c>
      <c r="D13" s="156" t="s">
        <v>11</v>
      </c>
      <c r="E13" s="106"/>
      <c r="F13" s="3"/>
      <c r="G13" s="3"/>
      <c r="H13" s="3"/>
      <c r="I13" s="1"/>
      <c r="J13" s="1"/>
      <c r="K13" s="1"/>
      <c r="L13" s="1"/>
      <c r="M13" s="1"/>
      <c r="N13" s="1"/>
      <c r="O13" s="1"/>
      <c r="P13" s="1"/>
      <c r="Q13" s="1"/>
      <c r="R13" s="1"/>
      <c r="S13" s="1"/>
      <c r="T13" s="1"/>
      <c r="U13" s="1"/>
      <c r="V13" s="1"/>
      <c r="W13" s="1"/>
      <c r="X13" s="1"/>
      <c r="Y13" s="1"/>
      <c r="Z13" s="1"/>
    </row>
    <row r="14" spans="1:26" customFormat="1" ht="15.75" customHeight="1" x14ac:dyDescent="0.2">
      <c r="A14" s="1"/>
      <c r="B14" s="105"/>
      <c r="C14" s="155" t="s">
        <v>12</v>
      </c>
      <c r="D14" s="156" t="s">
        <v>13</v>
      </c>
      <c r="E14" s="106"/>
      <c r="F14" s="3"/>
      <c r="G14" s="3"/>
      <c r="H14" s="3"/>
      <c r="I14" s="1"/>
      <c r="J14" s="1"/>
      <c r="K14" s="1"/>
      <c r="L14" s="1"/>
      <c r="M14" s="1"/>
      <c r="N14" s="1"/>
      <c r="O14" s="1"/>
      <c r="P14" s="1"/>
      <c r="Q14" s="1"/>
      <c r="R14" s="1"/>
      <c r="S14" s="1"/>
      <c r="T14" s="1"/>
      <c r="U14" s="1"/>
      <c r="V14" s="1"/>
      <c r="W14" s="1"/>
      <c r="X14" s="1"/>
      <c r="Y14" s="1"/>
      <c r="Z14" s="1"/>
    </row>
    <row r="15" spans="1:26" customFormat="1" ht="15.75" customHeight="1" x14ac:dyDescent="0.2">
      <c r="A15" s="1"/>
      <c r="B15" s="105"/>
      <c r="C15" s="155" t="s">
        <v>399</v>
      </c>
      <c r="D15" s="156" t="s">
        <v>14</v>
      </c>
      <c r="E15" s="106"/>
      <c r="F15" s="3"/>
      <c r="G15" s="3"/>
      <c r="H15" s="3"/>
      <c r="I15" s="1"/>
      <c r="J15" s="1"/>
      <c r="K15" s="1"/>
      <c r="L15" s="1"/>
      <c r="M15" s="1"/>
      <c r="N15" s="1"/>
      <c r="O15" s="1"/>
      <c r="P15" s="1"/>
      <c r="Q15" s="1"/>
      <c r="R15" s="1"/>
      <c r="S15" s="1"/>
      <c r="T15" s="1"/>
      <c r="U15" s="1"/>
      <c r="V15" s="1"/>
      <c r="W15" s="1"/>
      <c r="X15" s="1"/>
      <c r="Y15" s="1"/>
      <c r="Z15" s="1"/>
    </row>
    <row r="16" spans="1:26" customFormat="1" ht="15.75" customHeight="1" x14ac:dyDescent="0.2">
      <c r="A16" s="1"/>
      <c r="B16" s="105"/>
      <c r="C16" s="155" t="s">
        <v>15</v>
      </c>
      <c r="D16" s="156" t="s">
        <v>16</v>
      </c>
      <c r="E16" s="106"/>
      <c r="F16" s="3"/>
      <c r="G16" s="3"/>
      <c r="H16" s="3"/>
      <c r="I16" s="1"/>
      <c r="J16" s="1"/>
      <c r="K16" s="1"/>
      <c r="L16" s="1"/>
      <c r="M16" s="1"/>
      <c r="N16" s="1"/>
      <c r="O16" s="1"/>
      <c r="P16" s="1"/>
      <c r="Q16" s="1"/>
      <c r="R16" s="1"/>
      <c r="S16" s="1"/>
      <c r="T16" s="1"/>
      <c r="U16" s="1"/>
      <c r="V16" s="1"/>
      <c r="W16" s="1"/>
      <c r="X16" s="1"/>
      <c r="Y16" s="1"/>
      <c r="Z16" s="1"/>
    </row>
    <row r="17" spans="1:26" customFormat="1" ht="15.75" customHeight="1" x14ac:dyDescent="0.2">
      <c r="A17" s="1"/>
      <c r="B17" s="105"/>
      <c r="C17" s="155" t="s">
        <v>17</v>
      </c>
      <c r="D17" s="156" t="s">
        <v>18</v>
      </c>
      <c r="E17" s="106"/>
      <c r="F17" s="3"/>
      <c r="G17" s="3"/>
      <c r="H17" s="3"/>
      <c r="I17" s="1"/>
      <c r="J17" s="1"/>
      <c r="K17" s="1"/>
      <c r="L17" s="1"/>
      <c r="M17" s="1"/>
      <c r="N17" s="1"/>
      <c r="O17" s="1"/>
      <c r="P17" s="1"/>
      <c r="Q17" s="1"/>
      <c r="R17" s="1"/>
      <c r="S17" s="1"/>
      <c r="T17" s="1"/>
      <c r="U17" s="1"/>
      <c r="V17" s="1"/>
      <c r="W17" s="1"/>
      <c r="X17" s="1"/>
      <c r="Y17" s="1"/>
      <c r="Z17" s="1"/>
    </row>
    <row r="18" spans="1:26" customFormat="1" ht="15.75" customHeight="1" x14ac:dyDescent="0.2">
      <c r="A18" s="1"/>
      <c r="B18" s="105"/>
      <c r="C18" s="155" t="s">
        <v>19</v>
      </c>
      <c r="D18" s="156" t="s">
        <v>20</v>
      </c>
      <c r="E18" s="106"/>
      <c r="F18" s="3"/>
      <c r="G18" s="3"/>
      <c r="H18" s="3"/>
      <c r="I18" s="1"/>
      <c r="J18" s="1"/>
      <c r="K18" s="1"/>
      <c r="L18" s="1"/>
      <c r="M18" s="1"/>
      <c r="N18" s="1"/>
      <c r="O18" s="1"/>
      <c r="P18" s="1"/>
      <c r="Q18" s="1"/>
      <c r="R18" s="1"/>
      <c r="S18" s="1"/>
      <c r="T18" s="1"/>
      <c r="U18" s="1"/>
      <c r="V18" s="1"/>
      <c r="W18" s="1"/>
      <c r="X18" s="1"/>
      <c r="Y18" s="1"/>
      <c r="Z18" s="1"/>
    </row>
    <row r="19" spans="1:26" customFormat="1" ht="15.75" customHeight="1" x14ac:dyDescent="0.2">
      <c r="A19" s="1"/>
      <c r="B19" s="105"/>
      <c r="C19" s="155" t="s">
        <v>21</v>
      </c>
      <c r="D19" s="156" t="s">
        <v>22</v>
      </c>
      <c r="E19" s="106"/>
      <c r="F19" s="3"/>
      <c r="G19" s="3"/>
      <c r="H19" s="3"/>
      <c r="I19" s="1"/>
      <c r="J19" s="1"/>
      <c r="K19" s="1"/>
      <c r="L19" s="1"/>
      <c r="M19" s="1"/>
      <c r="N19" s="1"/>
      <c r="O19" s="1"/>
      <c r="P19" s="1"/>
      <c r="Q19" s="1"/>
      <c r="R19" s="1"/>
      <c r="S19" s="1"/>
      <c r="T19" s="1"/>
      <c r="U19" s="1"/>
      <c r="V19" s="1"/>
      <c r="W19" s="1"/>
      <c r="X19" s="1"/>
      <c r="Y19" s="1"/>
      <c r="Z19" s="1"/>
    </row>
    <row r="20" spans="1:26" customFormat="1" ht="15.75" customHeight="1" x14ac:dyDescent="0.2">
      <c r="A20" s="1"/>
      <c r="B20" s="105"/>
      <c r="C20" s="155" t="s">
        <v>23</v>
      </c>
      <c r="D20" s="156" t="s">
        <v>24</v>
      </c>
      <c r="E20" s="106"/>
      <c r="F20" s="3"/>
      <c r="G20" s="3"/>
      <c r="H20" s="3"/>
      <c r="I20" s="1"/>
      <c r="J20" s="1"/>
      <c r="K20" s="1"/>
      <c r="L20" s="1"/>
      <c r="M20" s="1"/>
      <c r="N20" s="1"/>
      <c r="O20" s="1"/>
      <c r="P20" s="1"/>
      <c r="Q20" s="1"/>
      <c r="R20" s="1"/>
      <c r="S20" s="1"/>
      <c r="T20" s="1"/>
      <c r="U20" s="1"/>
      <c r="V20" s="1"/>
      <c r="W20" s="1"/>
      <c r="X20" s="1"/>
      <c r="Y20" s="1"/>
      <c r="Z20" s="1"/>
    </row>
    <row r="21" spans="1:26" customFormat="1" ht="15.75" customHeight="1" x14ac:dyDescent="0.2">
      <c r="A21" s="1"/>
      <c r="B21" s="105"/>
      <c r="C21" s="155" t="s">
        <v>25</v>
      </c>
      <c r="D21" s="156" t="s">
        <v>26</v>
      </c>
      <c r="E21" s="106"/>
      <c r="F21" s="3"/>
      <c r="G21" s="3"/>
      <c r="H21" s="3"/>
      <c r="I21" s="1"/>
      <c r="J21" s="1"/>
      <c r="K21" s="1"/>
      <c r="L21" s="1"/>
      <c r="M21" s="1"/>
      <c r="N21" s="1"/>
      <c r="O21" s="1"/>
      <c r="P21" s="1"/>
      <c r="Q21" s="1"/>
      <c r="R21" s="1"/>
      <c r="S21" s="1"/>
      <c r="T21" s="1"/>
      <c r="U21" s="1"/>
      <c r="V21" s="1"/>
      <c r="W21" s="1"/>
      <c r="X21" s="1"/>
      <c r="Y21" s="1"/>
      <c r="Z21" s="1"/>
    </row>
    <row r="22" spans="1:26" customFormat="1" ht="15.75" customHeight="1" x14ac:dyDescent="0.2">
      <c r="A22" s="1"/>
      <c r="B22" s="105"/>
      <c r="C22" s="155" t="s">
        <v>27</v>
      </c>
      <c r="D22" s="156" t="s">
        <v>28</v>
      </c>
      <c r="E22" s="106"/>
      <c r="F22" s="3"/>
      <c r="G22" s="3"/>
      <c r="H22" s="3"/>
      <c r="I22" s="1"/>
      <c r="J22" s="1"/>
      <c r="K22" s="1"/>
      <c r="L22" s="1"/>
      <c r="M22" s="1"/>
      <c r="N22" s="1"/>
      <c r="O22" s="1"/>
      <c r="P22" s="1"/>
      <c r="Q22" s="1"/>
      <c r="R22" s="1"/>
      <c r="S22" s="1"/>
      <c r="T22" s="1"/>
      <c r="U22" s="1"/>
      <c r="V22" s="1"/>
      <c r="W22" s="1"/>
      <c r="X22" s="1"/>
      <c r="Y22" s="1"/>
      <c r="Z22" s="1"/>
    </row>
    <row r="23" spans="1:26" customFormat="1" ht="15.75" customHeight="1" x14ac:dyDescent="0.2">
      <c r="A23" s="1"/>
      <c r="B23" s="105"/>
      <c r="C23" s="155" t="s">
        <v>29</v>
      </c>
      <c r="D23" s="156" t="s">
        <v>30</v>
      </c>
      <c r="E23" s="106"/>
      <c r="F23" s="3"/>
      <c r="G23" s="3"/>
      <c r="H23" s="3"/>
      <c r="I23" s="1"/>
      <c r="J23" s="1"/>
      <c r="K23" s="1"/>
      <c r="L23" s="1"/>
      <c r="M23" s="1"/>
      <c r="N23" s="1"/>
      <c r="O23" s="1"/>
      <c r="P23" s="1"/>
      <c r="Q23" s="1"/>
      <c r="R23" s="1"/>
      <c r="S23" s="1"/>
      <c r="T23" s="1"/>
      <c r="U23" s="1"/>
      <c r="V23" s="1"/>
      <c r="W23" s="1"/>
      <c r="X23" s="1"/>
      <c r="Y23" s="1"/>
      <c r="Z23" s="1"/>
    </row>
    <row r="24" spans="1:26" customFormat="1" ht="15.75" customHeight="1" x14ac:dyDescent="0.2">
      <c r="A24" s="1"/>
      <c r="B24" s="105"/>
      <c r="C24" s="155" t="s">
        <v>31</v>
      </c>
      <c r="D24" s="156" t="s">
        <v>32</v>
      </c>
      <c r="E24" s="106"/>
      <c r="F24" s="3"/>
      <c r="G24" s="3"/>
      <c r="H24" s="3"/>
      <c r="I24" s="1"/>
      <c r="J24" s="1"/>
      <c r="K24" s="1"/>
      <c r="L24" s="1"/>
      <c r="M24" s="1"/>
      <c r="N24" s="1"/>
      <c r="O24" s="1"/>
      <c r="P24" s="1"/>
      <c r="Q24" s="1"/>
      <c r="R24" s="1"/>
      <c r="S24" s="1"/>
      <c r="T24" s="1"/>
      <c r="U24" s="1"/>
      <c r="V24" s="1"/>
      <c r="W24" s="1"/>
      <c r="X24" s="1"/>
      <c r="Y24" s="1"/>
      <c r="Z24" s="1"/>
    </row>
    <row r="25" spans="1:26" customFormat="1" ht="15.75" customHeight="1" x14ac:dyDescent="0.2">
      <c r="A25" s="1"/>
      <c r="B25" s="105"/>
      <c r="C25" s="155" t="s">
        <v>33</v>
      </c>
      <c r="D25" s="156" t="s">
        <v>34</v>
      </c>
      <c r="E25" s="106"/>
      <c r="F25" s="3"/>
      <c r="G25" s="3"/>
      <c r="H25" s="3"/>
      <c r="I25" s="1"/>
      <c r="J25" s="1"/>
      <c r="K25" s="1"/>
      <c r="L25" s="1"/>
      <c r="M25" s="1"/>
      <c r="N25" s="1"/>
      <c r="O25" s="1"/>
      <c r="P25" s="1"/>
      <c r="Q25" s="1"/>
      <c r="R25" s="1"/>
      <c r="S25" s="1"/>
      <c r="T25" s="1"/>
      <c r="U25" s="1"/>
      <c r="V25" s="1"/>
      <c r="W25" s="1"/>
      <c r="X25" s="1"/>
      <c r="Y25" s="1"/>
      <c r="Z25" s="1"/>
    </row>
    <row r="26" spans="1:26" customFormat="1" ht="15.75" customHeight="1" x14ac:dyDescent="0.2">
      <c r="A26" s="1"/>
      <c r="B26" s="105"/>
      <c r="C26" s="155" t="s">
        <v>35</v>
      </c>
      <c r="D26" s="156" t="s">
        <v>36</v>
      </c>
      <c r="E26" s="106"/>
      <c r="F26" s="3"/>
      <c r="G26" s="3"/>
      <c r="H26" s="3"/>
      <c r="I26" s="1"/>
      <c r="J26" s="1"/>
      <c r="K26" s="1"/>
      <c r="L26" s="1"/>
      <c r="M26" s="1"/>
      <c r="N26" s="1"/>
      <c r="O26" s="1"/>
      <c r="P26" s="1"/>
      <c r="Q26" s="1"/>
      <c r="R26" s="1"/>
      <c r="S26" s="1"/>
      <c r="T26" s="1"/>
      <c r="U26" s="1"/>
      <c r="V26" s="1"/>
      <c r="W26" s="1"/>
      <c r="X26" s="1"/>
      <c r="Y26" s="1"/>
      <c r="Z26" s="1"/>
    </row>
    <row r="27" spans="1:26" customFormat="1" ht="15.75" customHeight="1" x14ac:dyDescent="0.2">
      <c r="A27" s="1"/>
      <c r="B27" s="105"/>
      <c r="C27" s="155" t="s">
        <v>37</v>
      </c>
      <c r="D27" s="156" t="s">
        <v>38</v>
      </c>
      <c r="E27" s="106"/>
      <c r="F27" s="3"/>
      <c r="G27" s="3"/>
      <c r="H27" s="3"/>
      <c r="I27" s="1"/>
      <c r="J27" s="1"/>
      <c r="K27" s="1"/>
      <c r="L27" s="1"/>
      <c r="M27" s="1"/>
      <c r="N27" s="1"/>
      <c r="O27" s="1"/>
      <c r="P27" s="1"/>
      <c r="Q27" s="1"/>
      <c r="R27" s="1"/>
      <c r="S27" s="1"/>
      <c r="T27" s="1"/>
      <c r="U27" s="1"/>
      <c r="V27" s="1"/>
      <c r="W27" s="1"/>
      <c r="X27" s="1"/>
      <c r="Y27" s="1"/>
      <c r="Z27" s="1"/>
    </row>
    <row r="28" spans="1:26" s="93" customFormat="1" ht="28.5" x14ac:dyDescent="0.2">
      <c r="B28" s="103"/>
      <c r="C28" s="157"/>
      <c r="D28" s="157"/>
      <c r="E28" s="104"/>
    </row>
    <row r="29" spans="1:26" s="93" customFormat="1" ht="28.5" x14ac:dyDescent="0.2">
      <c r="B29" s="91"/>
      <c r="C29" s="160"/>
      <c r="D29" s="160"/>
    </row>
    <row r="30" spans="1:26" s="93" customFormat="1" ht="100.5" customHeight="1" x14ac:dyDescent="0.2">
      <c r="B30" s="99" t="s">
        <v>39</v>
      </c>
      <c r="C30" s="161" t="s">
        <v>40</v>
      </c>
      <c r="D30" s="161"/>
      <c r="E30" s="100"/>
    </row>
    <row r="31" spans="1:26" s="93" customFormat="1" ht="24" customHeight="1" x14ac:dyDescent="0.2">
      <c r="B31" s="91"/>
      <c r="C31" s="154"/>
      <c r="D31" s="154"/>
      <c r="E31" s="154"/>
    </row>
    <row r="32" spans="1:26" s="93" customFormat="1" ht="204" customHeight="1" x14ac:dyDescent="0.2">
      <c r="B32" s="99" t="s">
        <v>41</v>
      </c>
      <c r="C32" s="158" t="s">
        <v>42</v>
      </c>
      <c r="D32" s="158"/>
      <c r="E32" s="101"/>
    </row>
    <row r="33" spans="2:4" s="93" customFormat="1" ht="20.25" customHeight="1" x14ac:dyDescent="0.2">
      <c r="B33" s="91"/>
      <c r="C33" s="159"/>
      <c r="D33" s="159"/>
    </row>
    <row r="35" spans="2:4" s="93" customFormat="1" ht="20.25" customHeight="1" x14ac:dyDescent="0.2">
      <c r="B35" s="91"/>
      <c r="C35" s="92"/>
      <c r="D35" s="92"/>
    </row>
  </sheetData>
  <mergeCells count="10">
    <mergeCell ref="C7:D7"/>
    <mergeCell ref="C8:D8"/>
    <mergeCell ref="C9:D9"/>
    <mergeCell ref="C10:D10"/>
    <mergeCell ref="C11:D11"/>
    <mergeCell ref="C28:D28"/>
    <mergeCell ref="C32:D32"/>
    <mergeCell ref="C33:D33"/>
    <mergeCell ref="C29:D29"/>
    <mergeCell ref="C30:D3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Z999"/>
  <sheetViews>
    <sheetView zoomScale="83" workbookViewId="0">
      <pane ySplit="1" topLeftCell="A219" activePane="bottomLeft" state="frozen"/>
      <selection pane="bottomLeft" sqref="A1:A1048576"/>
    </sheetView>
  </sheetViews>
  <sheetFormatPr defaultColWidth="12.42578125" defaultRowHeight="12.75" outlineLevelRow="2" x14ac:dyDescent="0.2"/>
  <cols>
    <col min="1" max="1" width="45.28515625" style="110" customWidth="1"/>
    <col min="2" max="2" width="45.28515625" customWidth="1"/>
    <col min="3" max="3" width="21" customWidth="1"/>
    <col min="4" max="4" width="29.28515625" bestFit="1" customWidth="1"/>
    <col min="5" max="5" width="4" bestFit="1" customWidth="1"/>
    <col min="6" max="6" width="3.42578125" bestFit="1" customWidth="1"/>
    <col min="7" max="7" width="3.28515625" bestFit="1" customWidth="1"/>
    <col min="8" max="8" width="70.140625" customWidth="1"/>
    <col min="9" max="9" width="25.7109375" customWidth="1"/>
    <col min="10" max="10" width="49.42578125" customWidth="1"/>
    <col min="11" max="11" width="70.7109375" customWidth="1"/>
    <col min="12" max="12" width="12.42578125" customWidth="1"/>
    <col min="13" max="13" width="27.42578125" customWidth="1"/>
    <col min="14" max="14" width="22.140625" customWidth="1"/>
    <col min="15" max="17" width="19.42578125" customWidth="1"/>
    <col min="18" max="21" width="47.42578125" customWidth="1"/>
    <col min="22" max="26" width="18.42578125" customWidth="1"/>
  </cols>
  <sheetData>
    <row r="1" spans="1:26" s="107" customFormat="1" ht="63.75" x14ac:dyDescent="0.2">
      <c r="A1" s="111" t="s">
        <v>43</v>
      </c>
      <c r="B1" s="111" t="s">
        <v>44</v>
      </c>
      <c r="C1" s="108" t="s">
        <v>45</v>
      </c>
      <c r="D1" s="112" t="s">
        <v>46</v>
      </c>
      <c r="E1" s="113" t="s">
        <v>47</v>
      </c>
      <c r="F1" s="113" t="s">
        <v>48</v>
      </c>
      <c r="G1" s="113" t="s">
        <v>49</v>
      </c>
      <c r="H1" s="112" t="s">
        <v>50</v>
      </c>
      <c r="I1" s="112" t="s">
        <v>51</v>
      </c>
      <c r="J1" s="112" t="s">
        <v>52</v>
      </c>
      <c r="K1" s="112" t="s">
        <v>53</v>
      </c>
      <c r="L1" s="112" t="s">
        <v>54</v>
      </c>
      <c r="M1" s="112" t="s">
        <v>55</v>
      </c>
      <c r="N1" s="112" t="s">
        <v>56</v>
      </c>
      <c r="O1" s="112" t="s">
        <v>57</v>
      </c>
      <c r="P1" s="112" t="s">
        <v>58</v>
      </c>
      <c r="Q1" s="112" t="s">
        <v>59</v>
      </c>
      <c r="R1" s="112" t="s">
        <v>60</v>
      </c>
      <c r="S1" s="112" t="s">
        <v>61</v>
      </c>
      <c r="T1" s="112" t="s">
        <v>62</v>
      </c>
      <c r="U1" s="112" t="s">
        <v>63</v>
      </c>
      <c r="V1" s="109"/>
      <c r="W1" s="109"/>
      <c r="X1" s="109"/>
      <c r="Y1" s="109"/>
      <c r="Z1" s="109"/>
    </row>
    <row r="2" spans="1:26" ht="15.75" hidden="1" x14ac:dyDescent="0.2">
      <c r="A2" s="8"/>
      <c r="B2" s="9" t="s">
        <v>64</v>
      </c>
      <c r="C2" s="114" t="s">
        <v>65</v>
      </c>
      <c r="D2" s="10" t="s">
        <v>66</v>
      </c>
      <c r="E2" s="10"/>
      <c r="F2" s="10"/>
      <c r="G2" s="10"/>
      <c r="H2" s="10"/>
      <c r="I2" s="10"/>
      <c r="J2" s="10"/>
      <c r="K2" s="10"/>
      <c r="L2" s="10"/>
      <c r="M2" s="10"/>
      <c r="N2" s="10"/>
      <c r="O2" s="10"/>
      <c r="P2" s="10"/>
      <c r="Q2" s="10"/>
      <c r="R2" s="11"/>
      <c r="S2" s="11"/>
      <c r="T2" s="11"/>
      <c r="U2" s="11"/>
      <c r="V2" s="12"/>
      <c r="W2" s="12"/>
      <c r="X2" s="12"/>
      <c r="Y2" s="12"/>
      <c r="Z2" s="12"/>
    </row>
    <row r="3" spans="1:26" ht="15.75" hidden="1" x14ac:dyDescent="0.2">
      <c r="A3" s="8"/>
      <c r="B3" s="9" t="s">
        <v>64</v>
      </c>
      <c r="C3" s="114" t="s">
        <v>67</v>
      </c>
      <c r="D3" s="10" t="s">
        <v>68</v>
      </c>
      <c r="E3" s="10"/>
      <c r="F3" s="10"/>
      <c r="G3" s="10"/>
      <c r="H3" s="10"/>
      <c r="I3" s="10"/>
      <c r="J3" s="10"/>
      <c r="K3" s="10"/>
      <c r="L3" s="10"/>
      <c r="M3" s="10"/>
      <c r="N3" s="10"/>
      <c r="O3" s="10"/>
      <c r="P3" s="10"/>
      <c r="Q3" s="10"/>
      <c r="R3" s="11"/>
      <c r="S3" s="11"/>
      <c r="T3" s="11"/>
      <c r="U3" s="11"/>
      <c r="V3" s="12"/>
      <c r="W3" s="12"/>
      <c r="X3" s="12"/>
      <c r="Y3" s="12"/>
      <c r="Z3" s="12"/>
    </row>
    <row r="4" spans="1:26" ht="15.75" hidden="1" x14ac:dyDescent="0.2">
      <c r="A4" s="8"/>
      <c r="B4" s="9" t="s">
        <v>64</v>
      </c>
      <c r="C4" s="114" t="s">
        <v>69</v>
      </c>
      <c r="D4" s="10" t="s">
        <v>69</v>
      </c>
      <c r="E4" s="10"/>
      <c r="F4" s="10"/>
      <c r="G4" s="10"/>
      <c r="H4" s="10"/>
      <c r="I4" s="10"/>
      <c r="J4" s="10"/>
      <c r="K4" s="10"/>
      <c r="L4" s="10"/>
      <c r="M4" s="10"/>
      <c r="N4" s="10"/>
      <c r="O4" s="10"/>
      <c r="P4" s="10"/>
      <c r="Q4" s="10"/>
      <c r="R4" s="11"/>
      <c r="S4" s="11"/>
      <c r="T4" s="11"/>
      <c r="U4" s="11"/>
      <c r="V4" s="12"/>
      <c r="W4" s="12"/>
      <c r="X4" s="12"/>
      <c r="Y4" s="12"/>
      <c r="Z4" s="12"/>
    </row>
    <row r="5" spans="1:26" ht="15.75" hidden="1" x14ac:dyDescent="0.2">
      <c r="A5" s="8"/>
      <c r="B5" s="9" t="s">
        <v>64</v>
      </c>
      <c r="C5" s="114" t="s">
        <v>70</v>
      </c>
      <c r="D5" s="10" t="s">
        <v>70</v>
      </c>
      <c r="E5" s="10"/>
      <c r="F5" s="10"/>
      <c r="G5" s="10"/>
      <c r="H5" s="10"/>
      <c r="I5" s="10"/>
      <c r="J5" s="10"/>
      <c r="K5" s="10"/>
      <c r="L5" s="10"/>
      <c r="M5" s="10"/>
      <c r="N5" s="10"/>
      <c r="O5" s="10"/>
      <c r="P5" s="10"/>
      <c r="Q5" s="10"/>
      <c r="R5" s="11"/>
      <c r="S5" s="11"/>
      <c r="T5" s="11"/>
      <c r="U5" s="11"/>
      <c r="V5" s="12"/>
      <c r="W5" s="12"/>
      <c r="X5" s="12"/>
      <c r="Y5" s="12"/>
      <c r="Z5" s="12"/>
    </row>
    <row r="6" spans="1:26" ht="15.75" hidden="1" x14ac:dyDescent="0.2">
      <c r="A6" s="8"/>
      <c r="B6" s="9" t="s">
        <v>64</v>
      </c>
      <c r="C6" s="114" t="s">
        <v>71</v>
      </c>
      <c r="D6" s="10" t="s">
        <v>72</v>
      </c>
      <c r="E6" s="10"/>
      <c r="F6" s="10"/>
      <c r="G6" s="10"/>
      <c r="H6" s="10"/>
      <c r="I6" s="10"/>
      <c r="J6" s="10"/>
      <c r="K6" s="10"/>
      <c r="L6" s="10"/>
      <c r="M6" s="10"/>
      <c r="N6" s="10"/>
      <c r="O6" s="10"/>
      <c r="P6" s="10"/>
      <c r="Q6" s="10"/>
      <c r="R6" s="11"/>
      <c r="S6" s="11"/>
      <c r="T6" s="11"/>
      <c r="U6" s="11"/>
      <c r="V6" s="12"/>
      <c r="W6" s="12"/>
      <c r="X6" s="12"/>
      <c r="Y6" s="12"/>
      <c r="Z6" s="12"/>
    </row>
    <row r="7" spans="1:26" ht="38.25" hidden="1" x14ac:dyDescent="0.2">
      <c r="A7" s="8"/>
      <c r="B7" s="9" t="s">
        <v>73</v>
      </c>
      <c r="C7" s="114" t="s">
        <v>74</v>
      </c>
      <c r="D7" s="10" t="s">
        <v>74</v>
      </c>
      <c r="E7" s="10"/>
      <c r="F7" s="10"/>
      <c r="G7" s="10"/>
      <c r="H7" s="10"/>
      <c r="I7" s="10"/>
      <c r="J7" s="10"/>
      <c r="K7" s="10"/>
      <c r="L7" s="10"/>
      <c r="M7" s="10"/>
      <c r="N7" s="10"/>
      <c r="O7" s="10"/>
      <c r="P7" s="10"/>
      <c r="Q7" s="10"/>
      <c r="R7" s="11"/>
      <c r="S7" s="11"/>
      <c r="T7" s="11"/>
      <c r="U7" s="11"/>
      <c r="V7" s="12"/>
      <c r="W7" s="12"/>
      <c r="X7" s="12"/>
      <c r="Y7" s="12"/>
      <c r="Z7" s="12"/>
    </row>
    <row r="8" spans="1:26" ht="76.5" hidden="1" x14ac:dyDescent="0.2">
      <c r="A8" s="8"/>
      <c r="B8" s="9" t="s">
        <v>75</v>
      </c>
      <c r="C8" s="114" t="s">
        <v>76</v>
      </c>
      <c r="D8" s="10" t="s">
        <v>77</v>
      </c>
      <c r="E8" s="10"/>
      <c r="F8" s="10"/>
      <c r="G8" s="10"/>
      <c r="H8" s="12" t="s">
        <v>78</v>
      </c>
      <c r="I8" s="10"/>
      <c r="J8" s="10"/>
      <c r="K8" s="10"/>
      <c r="L8" s="10"/>
      <c r="M8" s="10"/>
      <c r="N8" s="10"/>
      <c r="O8" s="10"/>
      <c r="P8" s="10"/>
      <c r="Q8" s="10"/>
      <c r="R8" s="11" t="str">
        <f t="shared" ref="R8:R9" si="0">IF(E8="no", H8, CONCATENATE(G8,". &lt;br&gt;",H8))</f>
        <v>. &lt;br&gt;&lt;span style="text-align:center"&gt;&lt;h4&gt;ACTwatch Lite Market Survey [COUNTRY NAME AND YEAR]&lt;br&gt;
&lt;font color=blue&gt;Outlet Questionnaire&lt;/font&gt;&lt;/h4&gt;&lt;/span&gt;
&lt;br&gt;&lt;span style="text-align:center"&gt;&lt;h4&gt;Welcome&lt;/h4&gt;&lt;/span&gt;</v>
      </c>
      <c r="S8" s="11" t="s">
        <v>79</v>
      </c>
      <c r="T8" s="11"/>
      <c r="U8" s="11"/>
      <c r="V8" s="12"/>
      <c r="W8" s="12"/>
      <c r="X8" s="12"/>
      <c r="Y8" s="12"/>
      <c r="Z8" s="12"/>
    </row>
    <row r="9" spans="1:26" ht="15.75" hidden="1" x14ac:dyDescent="0.2">
      <c r="A9" s="8"/>
      <c r="B9" s="12"/>
      <c r="C9" s="114" t="s">
        <v>80</v>
      </c>
      <c r="D9" s="10" t="s">
        <v>80</v>
      </c>
      <c r="E9" s="10"/>
      <c r="F9" s="10"/>
      <c r="G9" s="10"/>
      <c r="H9" s="12" t="s">
        <v>81</v>
      </c>
      <c r="I9" s="10"/>
      <c r="J9" s="10"/>
      <c r="K9" s="10"/>
      <c r="L9" s="10"/>
      <c r="M9" s="10" t="s">
        <v>82</v>
      </c>
      <c r="N9" s="10"/>
      <c r="O9" s="10"/>
      <c r="P9" s="10" t="s">
        <v>83</v>
      </c>
      <c r="Q9" s="10"/>
      <c r="R9" s="11" t="str">
        <f t="shared" si="0"/>
        <v xml:space="preserve">. &lt;br&gt;Confirm today's date: </v>
      </c>
      <c r="S9" s="11" t="s">
        <v>84</v>
      </c>
      <c r="T9" s="11"/>
      <c r="U9" s="11"/>
      <c r="V9" s="12"/>
      <c r="W9" s="12"/>
      <c r="X9" s="12"/>
      <c r="Y9" s="12"/>
      <c r="Z9" s="12"/>
    </row>
    <row r="10" spans="1:26" ht="100.5" hidden="1" customHeight="1" x14ac:dyDescent="0.2">
      <c r="A10" s="14"/>
      <c r="B10" s="10"/>
      <c r="C10" s="114"/>
      <c r="D10" s="10"/>
      <c r="E10" s="15"/>
      <c r="F10" s="15"/>
      <c r="G10" s="15"/>
      <c r="H10" s="10"/>
      <c r="I10" s="10"/>
      <c r="J10" s="10"/>
      <c r="K10" s="10"/>
      <c r="L10" s="10"/>
      <c r="M10" s="10"/>
      <c r="N10" s="10"/>
      <c r="O10" s="10"/>
      <c r="P10" s="10"/>
      <c r="Q10" s="10"/>
      <c r="R10" s="11"/>
      <c r="S10" s="11"/>
      <c r="T10" s="11"/>
      <c r="U10" s="11"/>
      <c r="V10" s="12"/>
      <c r="W10" s="12"/>
      <c r="X10" s="12"/>
      <c r="Y10" s="12"/>
      <c r="Z10" s="12"/>
    </row>
    <row r="11" spans="1:26" ht="51" hidden="1" x14ac:dyDescent="0.2">
      <c r="A11" s="115" t="s">
        <v>85</v>
      </c>
      <c r="B11" s="116" t="s">
        <v>86</v>
      </c>
      <c r="C11" s="117"/>
      <c r="D11" s="16"/>
      <c r="E11" s="17"/>
      <c r="F11" s="17"/>
      <c r="G11" s="17"/>
      <c r="H11" s="16"/>
      <c r="I11" s="16"/>
      <c r="J11" s="16"/>
      <c r="K11" s="16"/>
      <c r="L11" s="16"/>
      <c r="M11" s="16"/>
      <c r="N11" s="16"/>
      <c r="O11" s="16"/>
      <c r="P11" s="16"/>
      <c r="Q11" s="16"/>
      <c r="R11" s="16"/>
      <c r="S11" s="16"/>
      <c r="T11" s="16"/>
      <c r="U11" s="16"/>
      <c r="V11" s="16"/>
      <c r="W11" s="16"/>
      <c r="X11" s="16"/>
      <c r="Y11" s="16"/>
      <c r="Z11" s="16"/>
    </row>
    <row r="12" spans="1:26" ht="15.75" hidden="1" outlineLevel="1" x14ac:dyDescent="0.2">
      <c r="A12" s="8"/>
      <c r="B12" s="118"/>
      <c r="C12" s="114"/>
      <c r="D12" s="10"/>
      <c r="E12" s="15"/>
      <c r="F12" s="15"/>
      <c r="G12" s="15"/>
      <c r="H12" s="10"/>
      <c r="I12" s="10"/>
      <c r="J12" s="10"/>
      <c r="K12" s="10"/>
      <c r="L12" s="10"/>
      <c r="M12" s="10"/>
      <c r="N12" s="10"/>
      <c r="O12" s="10"/>
      <c r="P12" s="10"/>
      <c r="Q12" s="10"/>
      <c r="R12" s="11"/>
      <c r="S12" s="11"/>
      <c r="T12" s="11"/>
      <c r="U12" s="11"/>
      <c r="V12" s="12"/>
      <c r="W12" s="12"/>
      <c r="X12" s="12"/>
      <c r="Y12" s="12"/>
      <c r="Z12" s="12"/>
    </row>
    <row r="13" spans="1:26" ht="144" customHeight="1" outlineLevel="1" x14ac:dyDescent="0.2">
      <c r="A13" s="119" t="s">
        <v>87</v>
      </c>
      <c r="B13" s="18" t="s">
        <v>88</v>
      </c>
      <c r="C13" s="19" t="s">
        <v>89</v>
      </c>
      <c r="D13" s="120" t="s">
        <v>90</v>
      </c>
      <c r="E13" s="121" t="s">
        <v>91</v>
      </c>
      <c r="F13" s="121">
        <v>1</v>
      </c>
      <c r="G13" s="121">
        <f t="shared" ref="G13:G21" si="1">IF(E13="no", G12, IF(F13=F12, G12+1, 1))</f>
        <v>0</v>
      </c>
      <c r="H13" s="122" t="s">
        <v>92</v>
      </c>
      <c r="I13" s="120" t="s">
        <v>93</v>
      </c>
      <c r="J13" s="120"/>
      <c r="K13" s="120"/>
      <c r="L13" s="120"/>
      <c r="M13" s="120"/>
      <c r="N13" s="120"/>
      <c r="O13" s="120"/>
      <c r="P13" s="120"/>
      <c r="Q13" s="120"/>
      <c r="R13" s="120" t="str">
        <f t="shared" ref="R13:R16" si="2">IF(E13="no", H13, CONCATENATE(G13,". &lt;br&gt;",H13))</f>
        <v>SECTION 1: CENSUS INFORMATION</v>
      </c>
      <c r="S13" s="120" t="s">
        <v>94</v>
      </c>
      <c r="T13" s="120" t="s">
        <v>95</v>
      </c>
      <c r="U13" s="120"/>
      <c r="V13" s="16"/>
      <c r="W13" s="16"/>
      <c r="X13" s="16"/>
      <c r="Y13" s="16"/>
      <c r="Z13" s="16"/>
    </row>
    <row r="14" spans="1:26" ht="102" hidden="1" outlineLevel="2" x14ac:dyDescent="0.2">
      <c r="A14" s="20"/>
      <c r="B14" s="21"/>
      <c r="C14" s="114" t="s">
        <v>76</v>
      </c>
      <c r="D14" s="10" t="s">
        <v>96</v>
      </c>
      <c r="E14" s="15" t="s">
        <v>91</v>
      </c>
      <c r="F14" s="15">
        <v>1</v>
      </c>
      <c r="G14" s="15">
        <f t="shared" si="1"/>
        <v>0</v>
      </c>
      <c r="H14" s="10" t="s">
        <v>97</v>
      </c>
      <c r="I14" s="10"/>
      <c r="J14" s="10"/>
      <c r="K14" s="10"/>
      <c r="L14" s="12"/>
      <c r="M14" s="10"/>
      <c r="N14" s="10"/>
      <c r="O14" s="10"/>
      <c r="P14" s="10"/>
      <c r="Q14" s="10"/>
      <c r="R14" s="11" t="str">
        <f t="shared" si="2"/>
        <v xml:space="preserve">&lt;br&gt;&lt;br&gt;&lt;h4&gt;Section 1: CENSUS INFORMATION&lt;/h4&gt;&lt;br&gt;
&lt;br&gt;
&lt;font color="blue"&gt; 
&lt;b&gt; Interviewer: &lt;/b&gt;&lt;br&gt;
 &lt;i&gt;Complete the following questions &lt;br&gt;&lt;b&gt;BEFORE ENTERING THE OUTLET. &lt;/b&gt;&lt;/i&gt;
</v>
      </c>
      <c r="S14" s="11" t="s">
        <v>98</v>
      </c>
      <c r="T14" s="11"/>
      <c r="U14" s="11"/>
      <c r="V14" s="12"/>
      <c r="W14" s="12"/>
      <c r="X14" s="12"/>
      <c r="Y14" s="12"/>
      <c r="Z14" s="12"/>
    </row>
    <row r="15" spans="1:26" ht="15.75" hidden="1" outlineLevel="2" x14ac:dyDescent="0.2">
      <c r="A15" s="20"/>
      <c r="B15" s="9" t="s">
        <v>99</v>
      </c>
      <c r="C15" s="123" t="s">
        <v>100</v>
      </c>
      <c r="D15" s="10" t="s">
        <v>101</v>
      </c>
      <c r="E15" s="15" t="s">
        <v>83</v>
      </c>
      <c r="F15" s="15">
        <v>1</v>
      </c>
      <c r="G15" s="15">
        <f t="shared" si="1"/>
        <v>1</v>
      </c>
      <c r="H15" s="10" t="s">
        <v>102</v>
      </c>
      <c r="I15" s="10"/>
      <c r="J15" s="10"/>
      <c r="K15" s="10"/>
      <c r="L15" s="12"/>
      <c r="M15" s="10"/>
      <c r="N15" s="10"/>
      <c r="O15" s="10"/>
      <c r="P15" s="10" t="s">
        <v>83</v>
      </c>
      <c r="Q15" s="10"/>
      <c r="R15" s="11" t="str">
        <f t="shared" si="2"/>
        <v>1. &lt;br&gt;Field team</v>
      </c>
      <c r="S15" s="11" t="s">
        <v>103</v>
      </c>
      <c r="T15" s="11"/>
      <c r="U15" s="11"/>
      <c r="V15" s="12"/>
      <c r="W15" s="12"/>
      <c r="X15" s="12"/>
      <c r="Y15" s="12"/>
      <c r="Z15" s="12"/>
    </row>
    <row r="16" spans="1:26" ht="15.75" hidden="1" outlineLevel="2" x14ac:dyDescent="0.2">
      <c r="A16" s="8"/>
      <c r="B16" s="9" t="s">
        <v>99</v>
      </c>
      <c r="C16" s="123" t="s">
        <v>104</v>
      </c>
      <c r="D16" s="10" t="s">
        <v>105</v>
      </c>
      <c r="E16" s="15" t="s">
        <v>83</v>
      </c>
      <c r="F16" s="15">
        <v>1</v>
      </c>
      <c r="G16" s="15">
        <f t="shared" si="1"/>
        <v>2</v>
      </c>
      <c r="H16" s="10" t="s">
        <v>106</v>
      </c>
      <c r="I16" s="10"/>
      <c r="J16" s="10"/>
      <c r="K16" s="10"/>
      <c r="L16" s="10"/>
      <c r="M16" s="10"/>
      <c r="N16" s="10"/>
      <c r="O16" s="10" t="s">
        <v>107</v>
      </c>
      <c r="P16" s="10" t="s">
        <v>83</v>
      </c>
      <c r="Q16" s="10"/>
      <c r="R16" s="11" t="str">
        <f t="shared" si="2"/>
        <v>2. &lt;br&gt;&lt;br&gt;Your name</v>
      </c>
      <c r="S16" s="11" t="s">
        <v>108</v>
      </c>
      <c r="T16" s="11"/>
      <c r="U16" s="11"/>
      <c r="V16" s="12"/>
      <c r="W16" s="12"/>
      <c r="X16" s="12"/>
      <c r="Y16" s="12"/>
      <c r="Z16" s="12"/>
    </row>
    <row r="17" spans="1:26" ht="15.75" hidden="1" outlineLevel="2" x14ac:dyDescent="0.2">
      <c r="A17" s="8"/>
      <c r="B17" s="22"/>
      <c r="C17" s="124" t="s">
        <v>109</v>
      </c>
      <c r="D17" s="23" t="s">
        <v>110</v>
      </c>
      <c r="E17" s="24" t="s">
        <v>91</v>
      </c>
      <c r="F17" s="24">
        <v>1</v>
      </c>
      <c r="G17" s="24">
        <f t="shared" si="1"/>
        <v>2</v>
      </c>
      <c r="H17" s="10"/>
      <c r="I17" s="23"/>
      <c r="J17" s="23"/>
      <c r="K17" s="23"/>
      <c r="L17" s="23"/>
      <c r="M17" s="23" t="s">
        <v>111</v>
      </c>
      <c r="N17" s="23"/>
      <c r="O17" s="23"/>
      <c r="P17" s="23"/>
      <c r="Q17" s="23"/>
      <c r="R17" s="25"/>
      <c r="S17" s="25"/>
      <c r="T17" s="25"/>
      <c r="U17" s="25"/>
      <c r="V17" s="26"/>
      <c r="W17" s="26"/>
      <c r="X17" s="26"/>
      <c r="Y17" s="26"/>
      <c r="Z17" s="26"/>
    </row>
    <row r="18" spans="1:26" ht="25.5" hidden="1" outlineLevel="2" x14ac:dyDescent="0.2">
      <c r="A18" s="8"/>
      <c r="B18" s="9" t="s">
        <v>112</v>
      </c>
      <c r="C18" s="114" t="s">
        <v>113</v>
      </c>
      <c r="D18" s="10" t="s">
        <v>114</v>
      </c>
      <c r="E18" s="15" t="s">
        <v>83</v>
      </c>
      <c r="F18" s="15">
        <v>1</v>
      </c>
      <c r="G18" s="15">
        <f t="shared" si="1"/>
        <v>3</v>
      </c>
      <c r="H18" s="12" t="s">
        <v>115</v>
      </c>
      <c r="I18" s="10"/>
      <c r="J18" s="10"/>
      <c r="K18" s="10"/>
      <c r="L18" s="10"/>
      <c r="M18" s="10"/>
      <c r="N18" s="10"/>
      <c r="O18" s="10"/>
      <c r="P18" s="10" t="s">
        <v>83</v>
      </c>
      <c r="Q18" s="10"/>
      <c r="R18" s="11" t="str">
        <f t="shared" ref="R18:R28" si="3">IF(E18="no", H18, CONCATENATE(G18,". &lt;br&gt;",H18))</f>
        <v>3. &lt;br&gt;&lt;br&gt;State</v>
      </c>
      <c r="S18" s="11" t="s">
        <v>116</v>
      </c>
      <c r="T18" s="11"/>
      <c r="U18" s="11"/>
      <c r="V18" s="12"/>
      <c r="W18" s="12"/>
      <c r="X18" s="12"/>
      <c r="Y18" s="12"/>
      <c r="Z18" s="12"/>
    </row>
    <row r="19" spans="1:26" ht="25.5" hidden="1" outlineLevel="2" x14ac:dyDescent="0.2">
      <c r="A19" s="8"/>
      <c r="B19" s="9" t="s">
        <v>112</v>
      </c>
      <c r="C19" s="114" t="s">
        <v>117</v>
      </c>
      <c r="D19" s="10" t="s">
        <v>118</v>
      </c>
      <c r="E19" s="15" t="s">
        <v>83</v>
      </c>
      <c r="F19" s="15">
        <v>1</v>
      </c>
      <c r="G19" s="15">
        <f t="shared" si="1"/>
        <v>4</v>
      </c>
      <c r="H19" s="12" t="s">
        <v>119</v>
      </c>
      <c r="I19" s="10"/>
      <c r="J19" s="10"/>
      <c r="K19" s="10"/>
      <c r="L19" s="10"/>
      <c r="M19" s="10"/>
      <c r="N19" s="10"/>
      <c r="O19" s="10" t="s">
        <v>120</v>
      </c>
      <c r="P19" s="10" t="s">
        <v>83</v>
      </c>
      <c r="Q19" s="10"/>
      <c r="R19" s="11" t="str">
        <f t="shared" si="3"/>
        <v>4. &lt;br&gt;&lt;br&gt;Local government area</v>
      </c>
      <c r="S19" s="11" t="s">
        <v>121</v>
      </c>
      <c r="T19" s="11"/>
      <c r="U19" s="11"/>
      <c r="V19" s="12"/>
      <c r="W19" s="12"/>
      <c r="X19" s="12"/>
      <c r="Y19" s="12"/>
      <c r="Z19" s="12"/>
    </row>
    <row r="20" spans="1:26" ht="25.5" hidden="1" outlineLevel="2" x14ac:dyDescent="0.2">
      <c r="A20" s="8"/>
      <c r="B20" s="9" t="s">
        <v>112</v>
      </c>
      <c r="C20" s="114" t="s">
        <v>122</v>
      </c>
      <c r="D20" s="10" t="s">
        <v>123</v>
      </c>
      <c r="E20" s="15" t="s">
        <v>83</v>
      </c>
      <c r="F20" s="15">
        <v>1</v>
      </c>
      <c r="G20" s="15">
        <f t="shared" si="1"/>
        <v>5</v>
      </c>
      <c r="H20" s="12" t="s">
        <v>124</v>
      </c>
      <c r="I20" s="10"/>
      <c r="J20" s="10"/>
      <c r="K20" s="10"/>
      <c r="L20" s="10"/>
      <c r="M20" s="10"/>
      <c r="N20" s="10"/>
      <c r="O20" s="10" t="s">
        <v>125</v>
      </c>
      <c r="P20" s="10" t="s">
        <v>83</v>
      </c>
      <c r="Q20" s="10"/>
      <c r="R20" s="11" t="str">
        <f t="shared" si="3"/>
        <v>5. &lt;br&gt;&lt;br&gt; Ward</v>
      </c>
      <c r="S20" s="11" t="s">
        <v>124</v>
      </c>
      <c r="T20" s="11"/>
      <c r="U20" s="11"/>
      <c r="V20" s="12"/>
      <c r="W20" s="12"/>
      <c r="X20" s="12"/>
      <c r="Y20" s="12"/>
      <c r="Z20" s="12"/>
    </row>
    <row r="21" spans="1:26" ht="102" hidden="1" outlineLevel="2" x14ac:dyDescent="0.2">
      <c r="A21" s="8"/>
      <c r="B21" s="27"/>
      <c r="C21" s="114" t="s">
        <v>126</v>
      </c>
      <c r="D21" s="10" t="s">
        <v>127</v>
      </c>
      <c r="E21" s="15" t="s">
        <v>83</v>
      </c>
      <c r="F21" s="15">
        <v>1</v>
      </c>
      <c r="G21" s="15">
        <f t="shared" si="1"/>
        <v>6</v>
      </c>
      <c r="H21" s="12" t="s">
        <v>128</v>
      </c>
      <c r="I21" s="10" t="s">
        <v>129</v>
      </c>
      <c r="J21" s="10"/>
      <c r="K21" s="10"/>
      <c r="L21" s="10"/>
      <c r="M21" s="10"/>
      <c r="N21" s="10"/>
      <c r="O21" s="10"/>
      <c r="P21" s="10" t="s">
        <v>83</v>
      </c>
      <c r="Q21" s="10"/>
      <c r="R21" s="11" t="str">
        <f t="shared" si="3"/>
        <v xml:space="preserve">6. &lt;br&gt;Is this a retail outlet or wholesale outlet? </v>
      </c>
      <c r="S21" s="11" t="s">
        <v>130</v>
      </c>
      <c r="T21" s="11" t="s">
        <v>131</v>
      </c>
      <c r="U21" s="11"/>
      <c r="V21" s="12"/>
      <c r="W21" s="12"/>
      <c r="X21" s="12"/>
      <c r="Y21" s="12"/>
      <c r="Z21" s="12"/>
    </row>
    <row r="22" spans="1:26" ht="25.5" hidden="1" outlineLevel="2" x14ac:dyDescent="0.2">
      <c r="A22" s="8"/>
      <c r="B22" s="9" t="s">
        <v>99</v>
      </c>
      <c r="C22" s="114" t="s">
        <v>132</v>
      </c>
      <c r="D22" s="10" t="s">
        <v>133</v>
      </c>
      <c r="E22" s="15" t="s">
        <v>83</v>
      </c>
      <c r="F22" s="15">
        <v>1</v>
      </c>
      <c r="G22" s="15" t="s">
        <v>134</v>
      </c>
      <c r="H22" s="10" t="s">
        <v>135</v>
      </c>
      <c r="I22" s="10"/>
      <c r="J22" s="10"/>
      <c r="K22" s="10"/>
      <c r="L22" s="10" t="s">
        <v>136</v>
      </c>
      <c r="M22" s="10"/>
      <c r="N22" s="10"/>
      <c r="O22" s="10"/>
      <c r="P22" s="10" t="s">
        <v>83</v>
      </c>
      <c r="Q22" s="10"/>
      <c r="R22" s="11" t="str">
        <f t="shared" si="3"/>
        <v>6A. &lt;br&gt;&lt;br&gt; Type of outlet</v>
      </c>
      <c r="S22" s="11" t="s">
        <v>137</v>
      </c>
      <c r="T22" s="11"/>
      <c r="U22" s="11"/>
      <c r="V22" s="12"/>
      <c r="W22" s="12"/>
      <c r="X22" s="12"/>
      <c r="Y22" s="12"/>
      <c r="Z22" s="12"/>
    </row>
    <row r="23" spans="1:26" ht="25.5" hidden="1" outlineLevel="2" x14ac:dyDescent="0.2">
      <c r="A23" s="28"/>
      <c r="B23" s="9" t="s">
        <v>99</v>
      </c>
      <c r="C23" s="114" t="s">
        <v>138</v>
      </c>
      <c r="D23" s="10" t="s">
        <v>139</v>
      </c>
      <c r="E23" s="15" t="s">
        <v>83</v>
      </c>
      <c r="F23" s="15">
        <v>1</v>
      </c>
      <c r="G23" s="15" t="s">
        <v>140</v>
      </c>
      <c r="H23" s="10" t="s">
        <v>141</v>
      </c>
      <c r="I23" s="10"/>
      <c r="J23" s="10"/>
      <c r="K23" s="10"/>
      <c r="L23" s="10" t="s">
        <v>142</v>
      </c>
      <c r="M23" s="10"/>
      <c r="N23" s="10"/>
      <c r="O23" s="10"/>
      <c r="P23" s="10" t="s">
        <v>83</v>
      </c>
      <c r="Q23" s="10"/>
      <c r="R23" s="11" t="str">
        <f t="shared" si="3"/>
        <v xml:space="preserve">6B. &lt;br&gt;&lt;br&gt; Type of wholesaler </v>
      </c>
      <c r="S23" s="11" t="s">
        <v>143</v>
      </c>
      <c r="T23" s="11"/>
      <c r="U23" s="11"/>
      <c r="V23" s="12"/>
      <c r="W23" s="12"/>
      <c r="X23" s="12"/>
      <c r="Y23" s="12"/>
      <c r="Z23" s="12"/>
    </row>
    <row r="24" spans="1:26" ht="51" hidden="1" outlineLevel="2" x14ac:dyDescent="0.2">
      <c r="A24" s="8"/>
      <c r="B24" s="10"/>
      <c r="C24" s="114" t="s">
        <v>144</v>
      </c>
      <c r="D24" s="10" t="s">
        <v>145</v>
      </c>
      <c r="E24" s="15" t="s">
        <v>91</v>
      </c>
      <c r="F24" s="15">
        <v>1</v>
      </c>
      <c r="G24" s="15" t="str">
        <f t="shared" ref="G24:G26" si="4">IF(E24="no", G23, IF(F24=F23, G23+1, 1))</f>
        <v>6B</v>
      </c>
      <c r="H24" s="10" t="s">
        <v>146</v>
      </c>
      <c r="I24" s="10"/>
      <c r="J24" s="10"/>
      <c r="K24" s="10"/>
      <c r="L24" s="12" t="s">
        <v>147</v>
      </c>
      <c r="M24" s="10"/>
      <c r="N24" s="10"/>
      <c r="O24" s="10"/>
      <c r="P24" s="10" t="s">
        <v>83</v>
      </c>
      <c r="Q24" s="10"/>
      <c r="R24" s="11" t="str">
        <f t="shared" si="3"/>
        <v>&lt;br&gt;* Other, specify</v>
      </c>
      <c r="S24" s="11" t="s">
        <v>148</v>
      </c>
      <c r="T24" s="11"/>
      <c r="U24" s="11"/>
      <c r="V24" s="12"/>
      <c r="W24" s="12"/>
      <c r="X24" s="12"/>
      <c r="Y24" s="12"/>
      <c r="Z24" s="12"/>
    </row>
    <row r="25" spans="1:26" ht="15.75" hidden="1" outlineLevel="2" x14ac:dyDescent="0.2">
      <c r="A25" s="28"/>
      <c r="B25" s="29"/>
      <c r="C25" s="125" t="s">
        <v>109</v>
      </c>
      <c r="D25" s="26" t="s">
        <v>149</v>
      </c>
      <c r="E25" s="24" t="s">
        <v>91</v>
      </c>
      <c r="F25" s="24">
        <v>1</v>
      </c>
      <c r="G25" s="24" t="str">
        <f t="shared" si="4"/>
        <v>6B</v>
      </c>
      <c r="H25" s="12" t="s">
        <v>150</v>
      </c>
      <c r="I25" s="23"/>
      <c r="J25" s="23"/>
      <c r="K25" s="26"/>
      <c r="L25" s="26"/>
      <c r="M25" s="26" t="s">
        <v>151</v>
      </c>
      <c r="N25" s="26"/>
      <c r="O25" s="26"/>
      <c r="P25" s="26"/>
      <c r="Q25" s="26"/>
      <c r="R25" s="25" t="str">
        <f t="shared" si="3"/>
        <v>summarize outlet type</v>
      </c>
      <c r="S25" s="25" t="s">
        <v>152</v>
      </c>
      <c r="T25" s="25"/>
      <c r="U25" s="25"/>
      <c r="V25" s="29"/>
      <c r="W25" s="29"/>
      <c r="X25" s="29"/>
      <c r="Y25" s="29"/>
      <c r="Z25" s="29"/>
    </row>
    <row r="26" spans="1:26" ht="15.75" hidden="1" outlineLevel="2" x14ac:dyDescent="0.2">
      <c r="A26" s="8"/>
      <c r="B26" s="23"/>
      <c r="C26" s="124" t="s">
        <v>109</v>
      </c>
      <c r="D26" s="23" t="s">
        <v>153</v>
      </c>
      <c r="E26" s="24" t="s">
        <v>91</v>
      </c>
      <c r="F26" s="24">
        <v>1</v>
      </c>
      <c r="G26" s="24" t="str">
        <f t="shared" si="4"/>
        <v>6B</v>
      </c>
      <c r="H26" s="12" t="s">
        <v>154</v>
      </c>
      <c r="I26" s="23"/>
      <c r="J26" s="23"/>
      <c r="K26" s="23"/>
      <c r="L26" s="26"/>
      <c r="M26" s="30" t="s">
        <v>155</v>
      </c>
      <c r="N26" s="23"/>
      <c r="O26" s="23"/>
      <c r="P26" s="23"/>
      <c r="Q26" s="23"/>
      <c r="R26" s="25" t="str">
        <f t="shared" si="3"/>
        <v xml:space="preserve">outlet is informal - use this variable for skip logic </v>
      </c>
      <c r="S26" s="25" t="s">
        <v>156</v>
      </c>
      <c r="T26" s="25"/>
      <c r="U26" s="25"/>
      <c r="V26" s="26"/>
      <c r="W26" s="26"/>
      <c r="X26" s="26"/>
      <c r="Y26" s="26"/>
      <c r="Z26" s="26"/>
    </row>
    <row r="27" spans="1:26" ht="25.5" hidden="1" outlineLevel="2" x14ac:dyDescent="0.2">
      <c r="A27" s="8"/>
      <c r="B27" s="31"/>
      <c r="C27" s="114" t="s">
        <v>144</v>
      </c>
      <c r="D27" s="10" t="s">
        <v>157</v>
      </c>
      <c r="E27" s="15" t="s">
        <v>83</v>
      </c>
      <c r="F27" s="15">
        <v>1</v>
      </c>
      <c r="G27" s="15">
        <v>7</v>
      </c>
      <c r="H27" s="10" t="s">
        <v>158</v>
      </c>
      <c r="I27" s="10" t="s">
        <v>159</v>
      </c>
      <c r="J27" s="10"/>
      <c r="K27" s="10"/>
      <c r="L27" s="10" t="s">
        <v>160</v>
      </c>
      <c r="M27" s="10"/>
      <c r="N27" s="10"/>
      <c r="O27" s="10"/>
      <c r="P27" s="10" t="s">
        <v>83</v>
      </c>
      <c r="Q27" s="10"/>
      <c r="R27" s="11" t="str">
        <f t="shared" si="3"/>
        <v>7. &lt;br&gt;&lt;br&gt;outlet/ business name</v>
      </c>
      <c r="S27" s="11" t="s">
        <v>161</v>
      </c>
      <c r="T27" s="11" t="s">
        <v>162</v>
      </c>
      <c r="U27" s="11"/>
      <c r="V27" s="12"/>
      <c r="W27" s="12"/>
      <c r="X27" s="12"/>
      <c r="Y27" s="12"/>
      <c r="Z27" s="12"/>
    </row>
    <row r="28" spans="1:26" ht="15.75" hidden="1" outlineLevel="2" x14ac:dyDescent="0.2">
      <c r="A28" s="8"/>
      <c r="B28" s="10"/>
      <c r="C28" s="114" t="s">
        <v>163</v>
      </c>
      <c r="D28" s="10" t="s">
        <v>164</v>
      </c>
      <c r="E28" s="15" t="s">
        <v>83</v>
      </c>
      <c r="F28" s="15">
        <v>1</v>
      </c>
      <c r="G28" s="15">
        <f t="shared" ref="G28:G32" si="5">IF(E28="no", G27, IF(F28=F27, G27+1, 1))</f>
        <v>8</v>
      </c>
      <c r="H28" s="10" t="s">
        <v>165</v>
      </c>
      <c r="I28" s="10"/>
      <c r="J28" s="10"/>
      <c r="K28" s="10"/>
      <c r="L28" s="10" t="s">
        <v>166</v>
      </c>
      <c r="M28" s="10"/>
      <c r="N28" s="10"/>
      <c r="O28" s="10"/>
      <c r="P28" s="10"/>
      <c r="Q28" s="10"/>
      <c r="R28" s="11" t="str">
        <f t="shared" si="3"/>
        <v>8. &lt;br&gt;GPS coordinates</v>
      </c>
      <c r="S28" s="11" t="s">
        <v>167</v>
      </c>
      <c r="T28" s="11"/>
      <c r="U28" s="11"/>
      <c r="V28" s="12"/>
      <c r="W28" s="12"/>
      <c r="X28" s="12"/>
      <c r="Y28" s="12"/>
      <c r="Z28" s="12"/>
    </row>
    <row r="29" spans="1:26" ht="15.75" hidden="1" outlineLevel="2" x14ac:dyDescent="0.2">
      <c r="A29" s="8"/>
      <c r="B29" s="23"/>
      <c r="C29" s="124" t="s">
        <v>109</v>
      </c>
      <c r="D29" s="23" t="s">
        <v>168</v>
      </c>
      <c r="E29" s="24" t="s">
        <v>91</v>
      </c>
      <c r="F29" s="24">
        <v>1</v>
      </c>
      <c r="G29" s="24">
        <f t="shared" si="5"/>
        <v>8</v>
      </c>
      <c r="H29" s="10"/>
      <c r="I29" s="23"/>
      <c r="J29" s="23"/>
      <c r="K29" s="23"/>
      <c r="L29" s="23"/>
      <c r="M29" s="23" t="s">
        <v>169</v>
      </c>
      <c r="N29" s="23"/>
      <c r="O29" s="23"/>
      <c r="P29" s="23"/>
      <c r="Q29" s="23"/>
      <c r="R29" s="25"/>
      <c r="S29" s="25"/>
      <c r="T29" s="25"/>
      <c r="U29" s="25"/>
      <c r="V29" s="26"/>
      <c r="W29" s="26"/>
      <c r="X29" s="26"/>
      <c r="Y29" s="26"/>
      <c r="Z29" s="26"/>
    </row>
    <row r="30" spans="1:26" ht="15.75" hidden="1" outlineLevel="2" x14ac:dyDescent="0.2">
      <c r="A30" s="8"/>
      <c r="B30" s="26"/>
      <c r="C30" s="124" t="s">
        <v>109</v>
      </c>
      <c r="D30" s="23" t="s">
        <v>170</v>
      </c>
      <c r="E30" s="24" t="s">
        <v>91</v>
      </c>
      <c r="F30" s="24">
        <v>1</v>
      </c>
      <c r="G30" s="24">
        <f t="shared" si="5"/>
        <v>8</v>
      </c>
      <c r="H30" s="10"/>
      <c r="I30" s="23"/>
      <c r="J30" s="23"/>
      <c r="K30" s="23"/>
      <c r="L30" s="23"/>
      <c r="M30" s="23" t="s">
        <v>171</v>
      </c>
      <c r="N30" s="23"/>
      <c r="O30" s="23"/>
      <c r="P30" s="23"/>
      <c r="Q30" s="23"/>
      <c r="R30" s="25"/>
      <c r="S30" s="25"/>
      <c r="T30" s="25"/>
      <c r="U30" s="25"/>
      <c r="V30" s="26"/>
      <c r="W30" s="26"/>
      <c r="X30" s="26"/>
      <c r="Y30" s="26"/>
      <c r="Z30" s="26"/>
    </row>
    <row r="31" spans="1:26" ht="15.75" hidden="1" outlineLevel="2" x14ac:dyDescent="0.2">
      <c r="A31" s="8"/>
      <c r="B31" s="23"/>
      <c r="C31" s="124" t="s">
        <v>109</v>
      </c>
      <c r="D31" s="23" t="s">
        <v>172</v>
      </c>
      <c r="E31" s="24" t="s">
        <v>91</v>
      </c>
      <c r="F31" s="24">
        <v>1</v>
      </c>
      <c r="G31" s="24">
        <f t="shared" si="5"/>
        <v>8</v>
      </c>
      <c r="H31" s="10"/>
      <c r="I31" s="23"/>
      <c r="J31" s="23"/>
      <c r="K31" s="23"/>
      <c r="L31" s="23"/>
      <c r="M31" s="23" t="s">
        <v>173</v>
      </c>
      <c r="N31" s="23"/>
      <c r="O31" s="23"/>
      <c r="P31" s="23"/>
      <c r="Q31" s="23"/>
      <c r="R31" s="25"/>
      <c r="S31" s="25"/>
      <c r="T31" s="25"/>
      <c r="U31" s="25"/>
      <c r="V31" s="26"/>
      <c r="W31" s="26"/>
      <c r="X31" s="26"/>
      <c r="Y31" s="26"/>
      <c r="Z31" s="26"/>
    </row>
    <row r="32" spans="1:26" ht="15.75" hidden="1" outlineLevel="2" x14ac:dyDescent="0.2">
      <c r="A32" s="32"/>
      <c r="B32" s="16"/>
      <c r="C32" s="19" t="s">
        <v>174</v>
      </c>
      <c r="D32" s="120" t="s">
        <v>90</v>
      </c>
      <c r="E32" s="121" t="s">
        <v>91</v>
      </c>
      <c r="F32" s="121">
        <v>1</v>
      </c>
      <c r="G32" s="121">
        <f t="shared" si="5"/>
        <v>8</v>
      </c>
      <c r="H32" s="120"/>
      <c r="I32" s="120"/>
      <c r="J32" s="120"/>
      <c r="K32" s="120"/>
      <c r="L32" s="120"/>
      <c r="M32" s="120"/>
      <c r="N32" s="120"/>
      <c r="O32" s="120"/>
      <c r="P32" s="120"/>
      <c r="Q32" s="120"/>
      <c r="R32" s="120"/>
      <c r="S32" s="120"/>
      <c r="T32" s="120"/>
      <c r="U32" s="120"/>
      <c r="V32" s="16"/>
      <c r="W32" s="16"/>
      <c r="X32" s="16"/>
      <c r="Y32" s="16"/>
      <c r="Z32" s="16"/>
    </row>
    <row r="33" spans="1:26" hidden="1" outlineLevel="1" collapsed="1" x14ac:dyDescent="0.2">
      <c r="A33" s="9" t="s">
        <v>175</v>
      </c>
      <c r="B33" s="10"/>
      <c r="C33" s="114"/>
      <c r="D33" s="10"/>
      <c r="E33" s="15"/>
      <c r="F33" s="15"/>
      <c r="G33" s="15"/>
      <c r="H33" s="10"/>
      <c r="I33" s="10"/>
      <c r="J33" s="10"/>
      <c r="K33" s="10"/>
      <c r="L33" s="10"/>
      <c r="M33" s="10"/>
      <c r="N33" s="10"/>
      <c r="O33" s="10"/>
      <c r="P33" s="10"/>
      <c r="Q33" s="10"/>
      <c r="R33" s="11"/>
      <c r="S33" s="11"/>
      <c r="T33" s="11"/>
      <c r="U33" s="11"/>
      <c r="V33" s="12"/>
      <c r="W33" s="12"/>
      <c r="X33" s="12"/>
      <c r="Y33" s="12"/>
      <c r="Z33" s="12"/>
    </row>
    <row r="34" spans="1:26" hidden="1" outlineLevel="1" x14ac:dyDescent="0.2">
      <c r="A34" s="9"/>
      <c r="B34" s="10"/>
      <c r="C34" s="114"/>
      <c r="D34" s="10"/>
      <c r="E34" s="15"/>
      <c r="F34" s="15"/>
      <c r="G34" s="15"/>
      <c r="H34" s="10"/>
      <c r="I34" s="10"/>
      <c r="J34" s="10"/>
      <c r="K34" s="10"/>
      <c r="L34" s="10"/>
      <c r="M34" s="10"/>
      <c r="N34" s="10"/>
      <c r="O34" s="10"/>
      <c r="P34" s="10"/>
      <c r="Q34" s="10"/>
      <c r="R34" s="11"/>
      <c r="S34" s="11"/>
      <c r="T34" s="11"/>
      <c r="U34" s="11"/>
      <c r="V34" s="12"/>
      <c r="W34" s="12"/>
      <c r="X34" s="12"/>
      <c r="Y34" s="12"/>
      <c r="Z34" s="12"/>
    </row>
    <row r="35" spans="1:26" hidden="1" outlineLevel="1" x14ac:dyDescent="0.2">
      <c r="A35" s="9"/>
      <c r="B35" s="10"/>
      <c r="C35" s="114"/>
      <c r="D35" s="10"/>
      <c r="E35" s="15"/>
      <c r="F35" s="15"/>
      <c r="G35" s="15"/>
      <c r="H35" s="10"/>
      <c r="I35" s="10"/>
      <c r="J35" s="10"/>
      <c r="K35" s="10"/>
      <c r="L35" s="10"/>
      <c r="M35" s="10"/>
      <c r="N35" s="10"/>
      <c r="O35" s="10"/>
      <c r="P35" s="10"/>
      <c r="Q35" s="10"/>
      <c r="R35" s="11"/>
      <c r="S35" s="11"/>
      <c r="T35" s="11"/>
      <c r="U35" s="11"/>
      <c r="V35" s="12"/>
      <c r="W35" s="12"/>
      <c r="X35" s="12"/>
      <c r="Y35" s="12"/>
      <c r="Z35" s="12"/>
    </row>
    <row r="36" spans="1:26" hidden="1" outlineLevel="1" x14ac:dyDescent="0.2">
      <c r="A36" s="9"/>
      <c r="B36" s="10"/>
      <c r="C36" s="114"/>
      <c r="D36" s="10"/>
      <c r="E36" s="15"/>
      <c r="F36" s="15"/>
      <c r="G36" s="15"/>
      <c r="H36" s="10"/>
      <c r="I36" s="10"/>
      <c r="J36" s="10"/>
      <c r="K36" s="10"/>
      <c r="L36" s="10"/>
      <c r="M36" s="10"/>
      <c r="N36" s="10"/>
      <c r="O36" s="10"/>
      <c r="P36" s="10"/>
      <c r="Q36" s="10"/>
      <c r="R36" s="11"/>
      <c r="S36" s="11"/>
      <c r="T36" s="11"/>
      <c r="U36" s="11"/>
      <c r="V36" s="12"/>
      <c r="W36" s="12"/>
      <c r="X36" s="12"/>
      <c r="Y36" s="12"/>
      <c r="Z36" s="12"/>
    </row>
    <row r="37" spans="1:26" hidden="1" outlineLevel="1" x14ac:dyDescent="0.2">
      <c r="A37" s="9"/>
      <c r="B37" s="10"/>
      <c r="C37" s="114"/>
      <c r="D37" s="10"/>
      <c r="E37" s="15"/>
      <c r="F37" s="15"/>
      <c r="G37" s="15"/>
      <c r="H37" s="10"/>
      <c r="I37" s="10"/>
      <c r="J37" s="10"/>
      <c r="K37" s="10"/>
      <c r="L37" s="10"/>
      <c r="M37" s="10"/>
      <c r="N37" s="10"/>
      <c r="O37" s="10"/>
      <c r="P37" s="10"/>
      <c r="Q37" s="10"/>
      <c r="R37" s="11"/>
      <c r="S37" s="11"/>
      <c r="T37" s="11"/>
      <c r="U37" s="11"/>
      <c r="V37" s="12"/>
      <c r="W37" s="12"/>
      <c r="X37" s="12"/>
      <c r="Y37" s="12"/>
      <c r="Z37" s="12"/>
    </row>
    <row r="38" spans="1:26" ht="15.75" hidden="1" outlineLevel="1" x14ac:dyDescent="0.2">
      <c r="A38" s="8"/>
      <c r="B38" s="10"/>
      <c r="C38" s="114"/>
      <c r="D38" s="10"/>
      <c r="E38" s="15"/>
      <c r="F38" s="15"/>
      <c r="G38" s="15"/>
      <c r="H38" s="10"/>
      <c r="I38" s="10"/>
      <c r="J38" s="10"/>
      <c r="K38" s="10"/>
      <c r="L38" s="10"/>
      <c r="M38" s="10"/>
      <c r="N38" s="10"/>
      <c r="O38" s="10"/>
      <c r="P38" s="10"/>
      <c r="Q38" s="10"/>
      <c r="R38" s="11"/>
      <c r="S38" s="11"/>
      <c r="T38" s="11"/>
      <c r="U38" s="11"/>
      <c r="V38" s="12"/>
      <c r="W38" s="12"/>
      <c r="X38" s="12"/>
      <c r="Y38" s="12"/>
      <c r="Z38" s="12"/>
    </row>
    <row r="39" spans="1:26" ht="76.5" outlineLevel="1" x14ac:dyDescent="0.2">
      <c r="A39" s="119" t="s">
        <v>176</v>
      </c>
      <c r="B39" s="18" t="s">
        <v>177</v>
      </c>
      <c r="C39" s="33" t="s">
        <v>89</v>
      </c>
      <c r="D39" s="126" t="s">
        <v>178</v>
      </c>
      <c r="E39" s="127" t="s">
        <v>91</v>
      </c>
      <c r="F39" s="127">
        <v>2</v>
      </c>
      <c r="G39" s="127">
        <f t="shared" ref="G39:G73" si="6">IF(E39="no", G38, IF(F39=F38, G38+1, 1))</f>
        <v>0</v>
      </c>
      <c r="H39" s="122" t="s">
        <v>179</v>
      </c>
      <c r="I39" s="120" t="s">
        <v>93</v>
      </c>
      <c r="J39" s="120"/>
      <c r="K39" s="120"/>
      <c r="L39" s="120"/>
      <c r="M39" s="120"/>
      <c r="N39" s="120"/>
      <c r="O39" s="120"/>
      <c r="P39" s="120"/>
      <c r="Q39" s="120"/>
      <c r="R39" s="120" t="str">
        <f t="shared" ref="R39:R46" si="7">IF(E39="no", H39, CONCATENATE(G39,". &lt;br&gt;",H39))</f>
        <v>SECTION 2: SCREENING AND ELIGIBILITY</v>
      </c>
      <c r="S39" s="120" t="s">
        <v>180</v>
      </c>
      <c r="T39" s="120" t="s">
        <v>95</v>
      </c>
      <c r="U39" s="120"/>
      <c r="V39" s="34"/>
      <c r="W39" s="34"/>
      <c r="X39" s="34"/>
      <c r="Y39" s="34"/>
      <c r="Z39" s="34"/>
    </row>
    <row r="40" spans="1:26" ht="317.25" hidden="1" customHeight="1" outlineLevel="2" x14ac:dyDescent="0.2">
      <c r="A40" s="8"/>
      <c r="B40" s="9" t="s">
        <v>181</v>
      </c>
      <c r="C40" s="114" t="s">
        <v>182</v>
      </c>
      <c r="D40" s="10" t="s">
        <v>183</v>
      </c>
      <c r="E40" s="15" t="s">
        <v>91</v>
      </c>
      <c r="F40" s="15">
        <v>2</v>
      </c>
      <c r="G40" s="15">
        <f t="shared" si="6"/>
        <v>0</v>
      </c>
      <c r="H40" s="10" t="s">
        <v>184</v>
      </c>
      <c r="I40" s="10"/>
      <c r="J40" s="10"/>
      <c r="K40" s="10"/>
      <c r="L40" s="10"/>
      <c r="M40" s="10"/>
      <c r="N40" s="10"/>
      <c r="O40" s="10"/>
      <c r="P40" s="10" t="s">
        <v>83</v>
      </c>
      <c r="Q40" s="10"/>
      <c r="R40" s="11" t="str">
        <f t="shared" si="7"/>
        <v>&lt;br&gt;&lt;br&gt;&lt;h4&gt;Section 2: SCREENING AND ELIGIBILITY&lt;/h4&gt;&lt;br&gt;&lt;br&gt;
&lt;font color="blue"&gt; 
&lt;b&gt; Now proceed in to the outlet and introduce yourself and the study. &lt;br&gt;
&lt;br&gt;Interviewer prompt: &lt;/b&gt;&lt;br&gt;
Hello, my name is ${c1b}. I work for [XXXXX]. We are conducting a study on the availability of antimalarial drugs and malaria screening services in outlet/ businesses like yours in [COUNTRY]. The results will help us improve the availability of appropriate drugs and treatment of malaria in [COUNTRY]. I would like to ask you some questions to see if you can participate in this study. If you are eligible, you are under no obligation to participate, as it is completely voluntary. I would also like to assure you that the answers you give will remain confidential. We won't pass on your details to the authorities, and you won't have to fear any reprisals.
&lt;/font&gt;
&lt;br&gt;&lt;br&gt;
&lt;b&gt;INTERVIEWER:&lt;/b&gt;&lt;br&gt;Are you able to screen this outlet/ business for participation in the study?</v>
      </c>
      <c r="S40" s="11" t="s">
        <v>185</v>
      </c>
      <c r="T40" s="11"/>
      <c r="U40" s="11"/>
      <c r="V40" s="12"/>
      <c r="W40" s="12"/>
      <c r="X40" s="12"/>
      <c r="Y40" s="12"/>
      <c r="Z40" s="12"/>
    </row>
    <row r="41" spans="1:26" ht="25.5" hidden="1" outlineLevel="2" x14ac:dyDescent="0.2">
      <c r="A41" s="8"/>
      <c r="B41" s="35"/>
      <c r="C41" s="114" t="s">
        <v>186</v>
      </c>
      <c r="D41" s="10" t="s">
        <v>187</v>
      </c>
      <c r="E41" s="15" t="s">
        <v>91</v>
      </c>
      <c r="F41" s="15">
        <v>2</v>
      </c>
      <c r="G41" s="15">
        <f t="shared" si="6"/>
        <v>0</v>
      </c>
      <c r="H41" s="10" t="s">
        <v>188</v>
      </c>
      <c r="I41" s="10"/>
      <c r="J41" s="10"/>
      <c r="K41" s="10"/>
      <c r="L41" s="10" t="s">
        <v>189</v>
      </c>
      <c r="M41" s="10"/>
      <c r="N41" s="10"/>
      <c r="O41" s="10"/>
      <c r="P41" s="10" t="s">
        <v>83</v>
      </c>
      <c r="Q41" s="10"/>
      <c r="R41" s="11" t="str">
        <f t="shared" si="7"/>
        <v>&lt;b&gt;INTERVIEWER&lt;/b&gt;&lt;br&gt;Why are you not able to screen this outlet/business for eligibility in the study?</v>
      </c>
      <c r="S41" s="11" t="s">
        <v>190</v>
      </c>
      <c r="T41" s="11"/>
      <c r="U41" s="11"/>
      <c r="V41" s="12"/>
      <c r="W41" s="12"/>
      <c r="X41" s="12"/>
      <c r="Y41" s="12"/>
      <c r="Z41" s="12"/>
    </row>
    <row r="42" spans="1:26" ht="25.5" hidden="1" outlineLevel="2" x14ac:dyDescent="0.2">
      <c r="A42" s="8"/>
      <c r="B42" s="12"/>
      <c r="C42" s="114" t="s">
        <v>144</v>
      </c>
      <c r="D42" s="10" t="s">
        <v>191</v>
      </c>
      <c r="E42" s="15" t="s">
        <v>91</v>
      </c>
      <c r="F42" s="15">
        <v>2</v>
      </c>
      <c r="G42" s="15">
        <f t="shared" si="6"/>
        <v>0</v>
      </c>
      <c r="H42" s="10" t="s">
        <v>192</v>
      </c>
      <c r="I42" s="10"/>
      <c r="J42" s="10"/>
      <c r="K42" s="10"/>
      <c r="L42" s="10" t="s">
        <v>193</v>
      </c>
      <c r="M42" s="10"/>
      <c r="N42" s="10"/>
      <c r="O42" s="10"/>
      <c r="P42" s="10" t="s">
        <v>83</v>
      </c>
      <c r="Q42" s="10"/>
      <c r="R42" s="11" t="str">
        <f t="shared" si="7"/>
        <v>Specify other reason:</v>
      </c>
      <c r="S42" s="11" t="s">
        <v>194</v>
      </c>
      <c r="T42" s="11"/>
      <c r="U42" s="11"/>
      <c r="V42" s="12"/>
      <c r="W42" s="12"/>
      <c r="X42" s="12"/>
      <c r="Y42" s="12"/>
      <c r="Z42" s="12"/>
    </row>
    <row r="43" spans="1:26" ht="25.5" outlineLevel="2" x14ac:dyDescent="0.2">
      <c r="A43" s="8"/>
      <c r="B43" s="9" t="s">
        <v>195</v>
      </c>
      <c r="C43" s="123" t="s">
        <v>89</v>
      </c>
      <c r="D43" s="12" t="s">
        <v>196</v>
      </c>
      <c r="E43" s="15" t="s">
        <v>91</v>
      </c>
      <c r="F43" s="15">
        <v>2</v>
      </c>
      <c r="G43" s="15">
        <f t="shared" si="6"/>
        <v>0</v>
      </c>
      <c r="H43" s="36" t="s">
        <v>197</v>
      </c>
      <c r="I43" s="12"/>
      <c r="J43" s="12"/>
      <c r="K43" s="12"/>
      <c r="L43" s="12" t="s">
        <v>198</v>
      </c>
      <c r="M43" s="12"/>
      <c r="N43" s="12" t="s">
        <v>199</v>
      </c>
      <c r="O43" s="12"/>
      <c r="P43" s="12"/>
      <c r="Q43" s="12"/>
      <c r="R43" s="11" t="str">
        <f t="shared" si="7"/>
        <v>Inclusion criteria:</v>
      </c>
      <c r="S43" s="11" t="s">
        <v>200</v>
      </c>
      <c r="T43" s="11"/>
      <c r="U43" s="11"/>
      <c r="V43" s="12"/>
      <c r="W43" s="12"/>
      <c r="X43" s="12"/>
      <c r="Y43" s="12"/>
      <c r="Z43" s="12"/>
    </row>
    <row r="44" spans="1:26" ht="25.5" hidden="1" outlineLevel="2" x14ac:dyDescent="0.2">
      <c r="A44" s="8"/>
      <c r="B44" s="37"/>
      <c r="C44" s="114" t="s">
        <v>182</v>
      </c>
      <c r="D44" s="10" t="s">
        <v>201</v>
      </c>
      <c r="E44" s="15" t="s">
        <v>83</v>
      </c>
      <c r="F44" s="15">
        <v>2</v>
      </c>
      <c r="G44" s="15">
        <f t="shared" si="6"/>
        <v>1</v>
      </c>
      <c r="H44" s="10" t="s">
        <v>202</v>
      </c>
      <c r="I44" s="10"/>
      <c r="J44" s="10"/>
      <c r="K44" s="10"/>
      <c r="L44" s="10"/>
      <c r="M44" s="10"/>
      <c r="N44" s="10"/>
      <c r="O44" s="10"/>
      <c r="P44" s="10" t="s">
        <v>83</v>
      </c>
      <c r="Q44" s="10"/>
      <c r="R44" s="11" t="str">
        <f t="shared" si="7"/>
        <v>1. &lt;br&gt;&lt;br&gt; Do you have any antimalarial medicine in stock today?</v>
      </c>
      <c r="S44" s="11" t="s">
        <v>203</v>
      </c>
      <c r="T44" s="11"/>
      <c r="U44" s="11"/>
      <c r="V44" s="12"/>
      <c r="W44" s="12"/>
      <c r="X44" s="12"/>
      <c r="Y44" s="12"/>
      <c r="Z44" s="12"/>
    </row>
    <row r="45" spans="1:26" ht="76.5" hidden="1" outlineLevel="2" x14ac:dyDescent="0.2">
      <c r="A45" s="8"/>
      <c r="B45" s="10"/>
      <c r="C45" s="114" t="s">
        <v>182</v>
      </c>
      <c r="D45" s="10" t="s">
        <v>204</v>
      </c>
      <c r="E45" s="15" t="s">
        <v>83</v>
      </c>
      <c r="F45" s="15">
        <v>2</v>
      </c>
      <c r="G45" s="15">
        <f t="shared" si="6"/>
        <v>2</v>
      </c>
      <c r="H45" s="10" t="s">
        <v>205</v>
      </c>
      <c r="I45" s="10" t="s">
        <v>2548</v>
      </c>
      <c r="J45" s="10"/>
      <c r="K45" s="10"/>
      <c r="L45" s="10"/>
      <c r="M45" s="10"/>
      <c r="N45" s="10"/>
      <c r="O45" s="10"/>
      <c r="P45" s="10" t="s">
        <v>83</v>
      </c>
      <c r="Q45" s="10"/>
      <c r="R45" s="11" t="str">
        <f t="shared" si="7"/>
        <v>2. &lt;br&gt;&lt;br&gt; Is malaria microscopy screening available here today?</v>
      </c>
      <c r="S45" s="11" t="s">
        <v>206</v>
      </c>
      <c r="T45" s="11"/>
      <c r="U45" s="11"/>
      <c r="V45" s="12"/>
      <c r="W45" s="12"/>
      <c r="X45" s="12"/>
      <c r="Y45" s="12"/>
      <c r="Z45" s="12"/>
    </row>
    <row r="46" spans="1:26" ht="102" hidden="1" outlineLevel="2" x14ac:dyDescent="0.2">
      <c r="A46" s="8"/>
      <c r="B46" s="38"/>
      <c r="C46" s="114" t="s">
        <v>182</v>
      </c>
      <c r="D46" s="10" t="s">
        <v>207</v>
      </c>
      <c r="E46" s="15" t="s">
        <v>83</v>
      </c>
      <c r="F46" s="15">
        <v>2</v>
      </c>
      <c r="G46" s="15">
        <f t="shared" si="6"/>
        <v>3</v>
      </c>
      <c r="H46" s="10" t="s">
        <v>208</v>
      </c>
      <c r="I46" s="10" t="s">
        <v>209</v>
      </c>
      <c r="J46" s="10"/>
      <c r="K46" s="10"/>
      <c r="L46" s="10"/>
      <c r="M46" s="10"/>
      <c r="N46" s="10"/>
      <c r="O46" s="10"/>
      <c r="P46" s="10" t="s">
        <v>83</v>
      </c>
      <c r="Q46" s="10"/>
      <c r="R46" s="11" t="str">
        <f t="shared" si="7"/>
        <v>3. &lt;br&gt;&lt;br&gt; Are malaria rapid diagnostic tests (RDTs) available here today?</v>
      </c>
      <c r="S46" s="11" t="s">
        <v>210</v>
      </c>
      <c r="T46" s="11" t="s">
        <v>211</v>
      </c>
      <c r="U46" s="11"/>
      <c r="V46" s="12"/>
      <c r="W46" s="12"/>
      <c r="X46" s="12"/>
      <c r="Y46" s="12"/>
      <c r="Z46" s="12"/>
    </row>
    <row r="47" spans="1:26" ht="15.75" hidden="1" outlineLevel="2" x14ac:dyDescent="0.2">
      <c r="A47" s="8"/>
      <c r="B47" s="10"/>
      <c r="C47" s="114" t="s">
        <v>174</v>
      </c>
      <c r="D47" s="10" t="s">
        <v>196</v>
      </c>
      <c r="E47" s="15" t="s">
        <v>91</v>
      </c>
      <c r="F47" s="15">
        <v>2</v>
      </c>
      <c r="G47" s="15">
        <f t="shared" si="6"/>
        <v>3</v>
      </c>
      <c r="H47" s="10"/>
      <c r="I47" s="10"/>
      <c r="J47" s="10"/>
      <c r="K47" s="10"/>
      <c r="L47" s="10"/>
      <c r="M47" s="10"/>
      <c r="N47" s="10"/>
      <c r="O47" s="10"/>
      <c r="P47" s="10"/>
      <c r="Q47" s="10"/>
      <c r="R47" s="11"/>
      <c r="S47" s="11"/>
      <c r="T47" s="11"/>
      <c r="U47" s="11"/>
      <c r="V47" s="12"/>
      <c r="W47" s="12"/>
      <c r="X47" s="12"/>
      <c r="Y47" s="12"/>
      <c r="Z47" s="12"/>
    </row>
    <row r="48" spans="1:26" ht="38.25" hidden="1" outlineLevel="2" x14ac:dyDescent="0.2">
      <c r="A48" s="8"/>
      <c r="B48" s="10"/>
      <c r="C48" s="114" t="s">
        <v>212</v>
      </c>
      <c r="D48" s="10" t="s">
        <v>213</v>
      </c>
      <c r="E48" s="15" t="s">
        <v>83</v>
      </c>
      <c r="F48" s="15">
        <v>2</v>
      </c>
      <c r="G48" s="15">
        <f t="shared" si="6"/>
        <v>4</v>
      </c>
      <c r="H48" s="10" t="s">
        <v>214</v>
      </c>
      <c r="I48" s="10"/>
      <c r="J48" s="10"/>
      <c r="K48" s="10"/>
      <c r="L48" s="10" t="s">
        <v>215</v>
      </c>
      <c r="M48" s="10"/>
      <c r="N48" s="10"/>
      <c r="O48" s="10"/>
      <c r="P48" s="10" t="s">
        <v>83</v>
      </c>
      <c r="Q48" s="10"/>
      <c r="R48" s="11" t="str">
        <f t="shared" ref="R48:R52" si="8">IF(E48="no", H48, CONCATENATE(G48,". &lt;br&gt;",H48))</f>
        <v>4. &lt;br&gt;&lt;br&gt; Are there any antimalarials that are out of stock today, but that you have offered for sale in the &lt;b&gt;last 3 months&lt;/b&gt;?</v>
      </c>
      <c r="S48" s="11" t="s">
        <v>216</v>
      </c>
      <c r="T48" s="11"/>
      <c r="U48" s="11"/>
      <c r="V48" s="12"/>
      <c r="W48" s="12"/>
      <c r="X48" s="12"/>
      <c r="Y48" s="12"/>
      <c r="Z48" s="12"/>
    </row>
    <row r="49" spans="1:26" ht="102" hidden="1" outlineLevel="2" x14ac:dyDescent="0.2">
      <c r="A49" s="8"/>
      <c r="B49" s="10"/>
      <c r="C49" s="114" t="s">
        <v>212</v>
      </c>
      <c r="D49" s="10" t="s">
        <v>217</v>
      </c>
      <c r="E49" s="15" t="s">
        <v>83</v>
      </c>
      <c r="F49" s="15">
        <v>2</v>
      </c>
      <c r="G49" s="15">
        <f t="shared" si="6"/>
        <v>5</v>
      </c>
      <c r="H49" s="10" t="s">
        <v>218</v>
      </c>
      <c r="I49" s="10" t="s">
        <v>209</v>
      </c>
      <c r="J49" s="10"/>
      <c r="K49" s="10"/>
      <c r="L49" s="10" t="s">
        <v>219</v>
      </c>
      <c r="M49" s="10"/>
      <c r="N49" s="10"/>
      <c r="O49" s="10"/>
      <c r="P49" s="10" t="s">
        <v>83</v>
      </c>
      <c r="Q49" s="10"/>
      <c r="R49" s="11" t="str">
        <f t="shared" si="8"/>
        <v>5. &lt;br&gt;&lt;br&gt; Have you stocked any malaria rapid diagnostic tests (RDTs) in the &lt;b&gt; last 3 months &lt;/b&gt;?</v>
      </c>
      <c r="S49" s="11" t="s">
        <v>220</v>
      </c>
      <c r="T49" s="11" t="s">
        <v>211</v>
      </c>
      <c r="U49" s="11"/>
      <c r="V49" s="12"/>
      <c r="W49" s="12"/>
      <c r="X49" s="12"/>
      <c r="Y49" s="12"/>
      <c r="Z49" s="12"/>
    </row>
    <row r="50" spans="1:26" ht="127.5" hidden="1" outlineLevel="2" x14ac:dyDescent="0.2">
      <c r="A50" s="39" t="s">
        <v>221</v>
      </c>
      <c r="B50" s="9" t="s">
        <v>222</v>
      </c>
      <c r="C50" s="123" t="s">
        <v>223</v>
      </c>
      <c r="D50" s="12" t="s">
        <v>224</v>
      </c>
      <c r="E50" s="15" t="s">
        <v>83</v>
      </c>
      <c r="F50" s="15">
        <v>2</v>
      </c>
      <c r="G50" s="15">
        <f t="shared" si="6"/>
        <v>6</v>
      </c>
      <c r="H50" s="12" t="s">
        <v>225</v>
      </c>
      <c r="I50" s="12" t="s">
        <v>226</v>
      </c>
      <c r="J50" s="12"/>
      <c r="K50" s="12"/>
      <c r="L50" s="12" t="s">
        <v>136</v>
      </c>
      <c r="M50" s="12"/>
      <c r="N50" s="12"/>
      <c r="O50" s="12"/>
      <c r="P50" s="10" t="s">
        <v>83</v>
      </c>
      <c r="Q50" s="12"/>
      <c r="R50" s="11" t="str">
        <f t="shared" si="8"/>
        <v>6. &lt;br&gt;Does this [outlet or business] sell antimalarials or RDT to other outlets that re-sell the products?</v>
      </c>
      <c r="S50" s="11" t="s">
        <v>227</v>
      </c>
      <c r="T50" s="11" t="s">
        <v>228</v>
      </c>
      <c r="U50" s="11"/>
      <c r="V50" s="12"/>
      <c r="W50" s="12"/>
      <c r="X50" s="12"/>
      <c r="Y50" s="12"/>
      <c r="Z50" s="12"/>
    </row>
    <row r="51" spans="1:26" ht="178.5" hidden="1" outlineLevel="2" x14ac:dyDescent="0.2">
      <c r="A51" s="20"/>
      <c r="B51" s="12"/>
      <c r="C51" s="114" t="s">
        <v>76</v>
      </c>
      <c r="D51" s="10" t="s">
        <v>229</v>
      </c>
      <c r="E51" s="15" t="s">
        <v>91</v>
      </c>
      <c r="F51" s="15">
        <v>2</v>
      </c>
      <c r="G51" s="15">
        <f t="shared" si="6"/>
        <v>6</v>
      </c>
      <c r="H51" s="10" t="s">
        <v>230</v>
      </c>
      <c r="I51" s="12"/>
      <c r="J51" s="10"/>
      <c r="K51" s="10"/>
      <c r="L51" s="10" t="s">
        <v>231</v>
      </c>
      <c r="M51" s="10"/>
      <c r="N51" s="10"/>
      <c r="O51" s="10"/>
      <c r="P51" s="10"/>
      <c r="Q51" s="10"/>
      <c r="R51" s="11" t="str">
        <f t="shared" si="8"/>
        <v>&lt;font color="red"&gt;
&lt;b&gt;Interviewer: &lt;/b&gt;
&lt;i&gt;You have recorded that the respondent does not know if this outlet/ business supplies malaria commodities to other outlet/ businesss. 
&lt;br&gt;Before proceeding, please attempt to identify and ask someone at this outlet/ business who does know if they sell products to other outlet/ businesss or if all customers are patients/ idividuals (not businesses)
&lt;br&gt; If someone is able to provide a response, please go back and enter yes or no.&lt;/i&gt;
&lt;/font&gt;</v>
      </c>
      <c r="S51" s="11" t="s">
        <v>232</v>
      </c>
      <c r="T51" s="11"/>
      <c r="U51" s="11"/>
      <c r="V51" s="12"/>
      <c r="W51" s="12"/>
      <c r="X51" s="12"/>
      <c r="Y51" s="12"/>
      <c r="Z51" s="12"/>
    </row>
    <row r="52" spans="1:26" ht="76.5" hidden="1" outlineLevel="2" x14ac:dyDescent="0.2">
      <c r="A52" s="40"/>
      <c r="B52" s="38"/>
      <c r="C52" s="123" t="s">
        <v>182</v>
      </c>
      <c r="D52" s="12" t="s">
        <v>233</v>
      </c>
      <c r="E52" s="15" t="s">
        <v>91</v>
      </c>
      <c r="F52" s="15">
        <v>2</v>
      </c>
      <c r="G52" s="15">
        <f t="shared" si="6"/>
        <v>6</v>
      </c>
      <c r="H52" s="12" t="s">
        <v>234</v>
      </c>
      <c r="I52" s="12"/>
      <c r="J52" s="12"/>
      <c r="K52" s="12"/>
      <c r="L52" s="10" t="s">
        <v>231</v>
      </c>
      <c r="M52" s="12"/>
      <c r="N52" s="12"/>
      <c r="O52" s="12"/>
      <c r="P52" s="10" t="s">
        <v>83</v>
      </c>
      <c r="Q52" s="12"/>
      <c r="R52" s="11" t="str">
        <f t="shared" si="8"/>
        <v>Are you sure that no one at this outlet/ business knows if the outlet/ business sells antimalarials or RDTs to other outlet/ business, bussineses, or health facilities (i.e. for resale)?</v>
      </c>
      <c r="S52" s="11" t="s">
        <v>235</v>
      </c>
      <c r="T52" s="11"/>
      <c r="U52" s="11"/>
      <c r="V52" s="12"/>
      <c r="W52" s="12"/>
      <c r="X52" s="12"/>
      <c r="Y52" s="12"/>
      <c r="Z52" s="12"/>
    </row>
    <row r="53" spans="1:26" ht="15.75" hidden="1" outlineLevel="2" x14ac:dyDescent="0.2">
      <c r="A53" s="40"/>
      <c r="B53" s="41"/>
      <c r="C53" s="125" t="s">
        <v>109</v>
      </c>
      <c r="D53" s="26" t="s">
        <v>236</v>
      </c>
      <c r="E53" s="24" t="s">
        <v>91</v>
      </c>
      <c r="F53" s="24" t="s">
        <v>237</v>
      </c>
      <c r="G53" s="24">
        <f t="shared" si="6"/>
        <v>6</v>
      </c>
      <c r="H53" s="12" t="s">
        <v>238</v>
      </c>
      <c r="I53" s="26"/>
      <c r="J53" s="26"/>
      <c r="K53" s="26"/>
      <c r="L53" s="23"/>
      <c r="M53" s="23" t="s">
        <v>239</v>
      </c>
      <c r="N53" s="26"/>
      <c r="O53" s="26"/>
      <c r="P53" s="23"/>
      <c r="Q53" s="26"/>
      <c r="R53" s="25"/>
      <c r="S53" s="25" t="s">
        <v>240</v>
      </c>
      <c r="T53" s="25"/>
      <c r="U53" s="25"/>
      <c r="V53" s="26"/>
      <c r="W53" s="26"/>
      <c r="X53" s="26"/>
      <c r="Y53" s="26"/>
      <c r="Z53" s="26"/>
    </row>
    <row r="54" spans="1:26" ht="15.75" hidden="1" outlineLevel="2" x14ac:dyDescent="0.2">
      <c r="A54" s="8"/>
      <c r="B54" s="41"/>
      <c r="C54" s="124" t="s">
        <v>109</v>
      </c>
      <c r="D54" s="26" t="s">
        <v>241</v>
      </c>
      <c r="E54" s="24" t="s">
        <v>91</v>
      </c>
      <c r="F54" s="24">
        <v>2</v>
      </c>
      <c r="G54" s="24">
        <f t="shared" si="6"/>
        <v>6</v>
      </c>
      <c r="H54" s="10" t="s">
        <v>242</v>
      </c>
      <c r="I54" s="23"/>
      <c r="J54" s="23"/>
      <c r="K54" s="23"/>
      <c r="L54" s="23"/>
      <c r="M54" s="23" t="s">
        <v>243</v>
      </c>
      <c r="N54" s="23"/>
      <c r="O54" s="23"/>
      <c r="P54" s="23"/>
      <c r="Q54" s="23"/>
      <c r="R54" s="25" t="str">
        <f>IF(E54="no", H54, CONCATENATE(G54,". &lt;br&gt;",H54))</f>
        <v xml:space="preserve">outlet has AMs now </v>
      </c>
      <c r="S54" s="25" t="s">
        <v>244</v>
      </c>
      <c r="T54" s="25"/>
      <c r="U54" s="25"/>
      <c r="V54" s="26"/>
      <c r="W54" s="26"/>
      <c r="X54" s="26"/>
      <c r="Y54" s="26"/>
      <c r="Z54" s="26"/>
    </row>
    <row r="55" spans="1:26" ht="15.75" hidden="1" outlineLevel="2" x14ac:dyDescent="0.2">
      <c r="A55" s="8"/>
      <c r="B55" s="41"/>
      <c r="C55" s="124" t="s">
        <v>109</v>
      </c>
      <c r="D55" s="26" t="s">
        <v>245</v>
      </c>
      <c r="E55" s="24" t="s">
        <v>91</v>
      </c>
      <c r="F55" s="24">
        <v>2</v>
      </c>
      <c r="G55" s="24">
        <f t="shared" si="6"/>
        <v>6</v>
      </c>
      <c r="H55" s="10" t="s">
        <v>246</v>
      </c>
      <c r="I55" s="23"/>
      <c r="J55" s="23"/>
      <c r="K55" s="23"/>
      <c r="L55" s="23"/>
      <c r="M55" s="23" t="s">
        <v>247</v>
      </c>
      <c r="N55" s="23"/>
      <c r="O55" s="23"/>
      <c r="P55" s="23"/>
      <c r="Q55" s="23"/>
      <c r="R55" s="25" t="str">
        <f t="shared" ref="R55:R68" si="9">IF(E55="no", H55, CONCATENATE(G55,". &lt;br&gt;",H55))</f>
        <v>outlet had AMs in the past</v>
      </c>
      <c r="S55" s="25" t="s">
        <v>248</v>
      </c>
      <c r="T55" s="25"/>
      <c r="U55" s="25"/>
      <c r="V55" s="26"/>
      <c r="W55" s="26"/>
      <c r="X55" s="26"/>
      <c r="Y55" s="26"/>
      <c r="Z55" s="26"/>
    </row>
    <row r="56" spans="1:26" ht="15.75" hidden="1" outlineLevel="2" x14ac:dyDescent="0.2">
      <c r="A56" s="8"/>
      <c r="B56" s="41"/>
      <c r="C56" s="124" t="s">
        <v>109</v>
      </c>
      <c r="D56" s="26" t="s">
        <v>249</v>
      </c>
      <c r="E56" s="24" t="s">
        <v>91</v>
      </c>
      <c r="F56" s="24">
        <v>2</v>
      </c>
      <c r="G56" s="24">
        <f t="shared" si="6"/>
        <v>6</v>
      </c>
      <c r="H56" s="10" t="s">
        <v>250</v>
      </c>
      <c r="I56" s="23"/>
      <c r="J56" s="23"/>
      <c r="K56" s="23"/>
      <c r="L56" s="23"/>
      <c r="M56" s="23" t="s">
        <v>251</v>
      </c>
      <c r="N56" s="23"/>
      <c r="O56" s="23"/>
      <c r="P56" s="23"/>
      <c r="Q56" s="23"/>
      <c r="R56" s="25" t="str">
        <f t="shared" si="9"/>
        <v>outlet has RDTs now</v>
      </c>
      <c r="S56" s="25" t="s">
        <v>252</v>
      </c>
      <c r="T56" s="25"/>
      <c r="U56" s="25"/>
      <c r="V56" s="26"/>
      <c r="W56" s="26"/>
      <c r="X56" s="26"/>
      <c r="Y56" s="26"/>
      <c r="Z56" s="26"/>
    </row>
    <row r="57" spans="1:26" ht="15.75" hidden="1" outlineLevel="2" x14ac:dyDescent="0.2">
      <c r="A57" s="8"/>
      <c r="B57" s="41"/>
      <c r="C57" s="124" t="s">
        <v>109</v>
      </c>
      <c r="D57" s="26" t="s">
        <v>253</v>
      </c>
      <c r="E57" s="24" t="s">
        <v>91</v>
      </c>
      <c r="F57" s="24">
        <v>2</v>
      </c>
      <c r="G57" s="24">
        <f t="shared" si="6"/>
        <v>6</v>
      </c>
      <c r="H57" s="10" t="s">
        <v>254</v>
      </c>
      <c r="I57" s="23"/>
      <c r="J57" s="23"/>
      <c r="K57" s="23"/>
      <c r="L57" s="23"/>
      <c r="M57" s="23" t="s">
        <v>255</v>
      </c>
      <c r="N57" s="23"/>
      <c r="O57" s="23"/>
      <c r="P57" s="23"/>
      <c r="Q57" s="23"/>
      <c r="R57" s="25" t="str">
        <f t="shared" si="9"/>
        <v>outlet has micro now</v>
      </c>
      <c r="S57" s="25" t="s">
        <v>256</v>
      </c>
      <c r="T57" s="25"/>
      <c r="U57" s="25"/>
      <c r="V57" s="26"/>
      <c r="W57" s="26"/>
      <c r="X57" s="26"/>
      <c r="Y57" s="26"/>
      <c r="Z57" s="26"/>
    </row>
    <row r="58" spans="1:26" ht="15.75" hidden="1" outlineLevel="2" x14ac:dyDescent="0.2">
      <c r="A58" s="8"/>
      <c r="B58" s="41"/>
      <c r="C58" s="124" t="s">
        <v>109</v>
      </c>
      <c r="D58" s="26" t="s">
        <v>257</v>
      </c>
      <c r="E58" s="24" t="s">
        <v>91</v>
      </c>
      <c r="F58" s="24">
        <v>2</v>
      </c>
      <c r="G58" s="24">
        <f t="shared" si="6"/>
        <v>6</v>
      </c>
      <c r="H58" s="10" t="s">
        <v>258</v>
      </c>
      <c r="I58" s="23"/>
      <c r="J58" s="23"/>
      <c r="K58" s="23"/>
      <c r="L58" s="23"/>
      <c r="M58" s="23" t="s">
        <v>259</v>
      </c>
      <c r="N58" s="23"/>
      <c r="O58" s="23"/>
      <c r="P58" s="23"/>
      <c r="Q58" s="23"/>
      <c r="R58" s="25" t="str">
        <f t="shared" si="9"/>
        <v>outlet has any testing now</v>
      </c>
      <c r="S58" s="25" t="s">
        <v>260</v>
      </c>
      <c r="T58" s="25"/>
      <c r="U58" s="25"/>
      <c r="V58" s="26"/>
      <c r="W58" s="26"/>
      <c r="X58" s="26"/>
      <c r="Y58" s="26"/>
      <c r="Z58" s="26"/>
    </row>
    <row r="59" spans="1:26" ht="15.75" hidden="1" outlineLevel="2" x14ac:dyDescent="0.2">
      <c r="A59" s="8"/>
      <c r="B59" s="41"/>
      <c r="C59" s="124" t="s">
        <v>109</v>
      </c>
      <c r="D59" s="26" t="s">
        <v>261</v>
      </c>
      <c r="E59" s="24" t="s">
        <v>91</v>
      </c>
      <c r="F59" s="24">
        <v>2</v>
      </c>
      <c r="G59" s="24">
        <f t="shared" si="6"/>
        <v>6</v>
      </c>
      <c r="H59" s="10" t="s">
        <v>262</v>
      </c>
      <c r="I59" s="23" t="s">
        <v>263</v>
      </c>
      <c r="J59" s="23"/>
      <c r="K59" s="23"/>
      <c r="L59" s="23"/>
      <c r="M59" s="23" t="s">
        <v>264</v>
      </c>
      <c r="N59" s="23"/>
      <c r="O59" s="23"/>
      <c r="P59" s="23"/>
      <c r="Q59" s="23"/>
      <c r="R59" s="25" t="str">
        <f t="shared" si="9"/>
        <v>outlet is eligible for the study</v>
      </c>
      <c r="S59" s="25" t="s">
        <v>265</v>
      </c>
      <c r="T59" s="25" t="s">
        <v>266</v>
      </c>
      <c r="U59" s="25"/>
      <c r="V59" s="26"/>
      <c r="W59" s="26"/>
      <c r="X59" s="26"/>
      <c r="Y59" s="26"/>
      <c r="Z59" s="26"/>
    </row>
    <row r="60" spans="1:26" ht="25.5" outlineLevel="2" x14ac:dyDescent="0.2">
      <c r="A60" s="8"/>
      <c r="B60" s="9" t="s">
        <v>267</v>
      </c>
      <c r="C60" s="123" t="s">
        <v>89</v>
      </c>
      <c r="D60" s="12" t="s">
        <v>268</v>
      </c>
      <c r="E60" s="15" t="s">
        <v>91</v>
      </c>
      <c r="F60" s="15">
        <v>2</v>
      </c>
      <c r="G60" s="15">
        <f t="shared" si="6"/>
        <v>6</v>
      </c>
      <c r="H60" s="36" t="s">
        <v>269</v>
      </c>
      <c r="I60" s="12"/>
      <c r="J60" s="12"/>
      <c r="K60" s="12"/>
      <c r="L60" s="12" t="s">
        <v>270</v>
      </c>
      <c r="M60" s="12"/>
      <c r="N60" s="12"/>
      <c r="O60" s="12"/>
      <c r="P60" s="12"/>
      <c r="Q60" s="12"/>
      <c r="R60" s="11" t="str">
        <f t="shared" si="9"/>
        <v>Consent:</v>
      </c>
      <c r="S60" s="11" t="s">
        <v>271</v>
      </c>
      <c r="T60" s="11"/>
      <c r="U60" s="11"/>
      <c r="V60" s="12"/>
      <c r="W60" s="12"/>
      <c r="X60" s="12"/>
      <c r="Y60" s="12"/>
      <c r="Z60" s="12"/>
    </row>
    <row r="61" spans="1:26" ht="306" hidden="1" outlineLevel="2" x14ac:dyDescent="0.2">
      <c r="A61" s="28"/>
      <c r="B61" s="38"/>
      <c r="C61" s="114" t="s">
        <v>76</v>
      </c>
      <c r="D61" s="10" t="s">
        <v>272</v>
      </c>
      <c r="E61" s="15" t="s">
        <v>91</v>
      </c>
      <c r="F61" s="15">
        <v>2</v>
      </c>
      <c r="G61" s="15">
        <f t="shared" si="6"/>
        <v>6</v>
      </c>
      <c r="H61" s="10" t="s">
        <v>273</v>
      </c>
      <c r="I61" s="10"/>
      <c r="J61" s="10"/>
      <c r="K61" s="10"/>
      <c r="L61" s="10" t="s">
        <v>274</v>
      </c>
      <c r="M61" s="10"/>
      <c r="N61" s="10"/>
      <c r="O61" s="10"/>
      <c r="P61" s="10"/>
      <c r="Q61" s="10"/>
      <c r="R61" s="11" t="str">
        <f t="shared" si="9"/>
        <v>&lt;b&gt;Interviewer:&lt;/b&gt;
&lt;br&gt;
&lt;br&gt;This outlet is eligible for the study. Proceed with seeking consent to participate: 
&lt;br&gt;
&lt;font color="blue"&gt;&lt;br&gt;&lt;b&gt;Consent instructions: &lt;/b&gt;
&lt;br&gt;&lt;i&gt;- Provide information about the study to respondent. &lt;br&gt;
&lt;br&gt;- Ask to interview the outlet/ business manager or lead pharmacist. If there are several providers working in the outlet/ business, ask the main provider to complete the interview or the most senior provider available at the time of visit.&lt;br&gt;
&lt;br&gt;- In a discreet location away from his/her colleagues and/or supervisors, provide additional information and consent sheet.&lt;br&gt; 
&lt;br&gt;- Ask the respondent if they consent to the interview and have them read the consent sheet. The consent sheet should be signed by the interviewer. &lt;/i&gt;
&lt;/font&gt;</v>
      </c>
      <c r="S61" s="11" t="s">
        <v>275</v>
      </c>
      <c r="T61" s="11"/>
      <c r="U61" s="11"/>
      <c r="V61" s="12"/>
      <c r="W61" s="12"/>
      <c r="X61" s="12"/>
      <c r="Y61" s="12"/>
      <c r="Z61" s="12"/>
    </row>
    <row r="62" spans="1:26" ht="25.5" hidden="1" outlineLevel="2" x14ac:dyDescent="0.2">
      <c r="A62" s="8"/>
      <c r="B62" s="10"/>
      <c r="C62" s="114" t="s">
        <v>276</v>
      </c>
      <c r="D62" s="10" t="s">
        <v>277</v>
      </c>
      <c r="E62" s="15" t="s">
        <v>83</v>
      </c>
      <c r="F62" s="15">
        <v>2</v>
      </c>
      <c r="G62" s="15">
        <f t="shared" si="6"/>
        <v>7</v>
      </c>
      <c r="H62" s="10" t="s">
        <v>278</v>
      </c>
      <c r="I62" s="10"/>
      <c r="J62" s="10"/>
      <c r="K62" s="10"/>
      <c r="L62" s="10" t="s">
        <v>274</v>
      </c>
      <c r="M62" s="10"/>
      <c r="N62" s="10"/>
      <c r="O62" s="10"/>
      <c r="P62" s="10" t="s">
        <v>83</v>
      </c>
      <c r="Q62" s="10"/>
      <c r="R62" s="11" t="str">
        <f t="shared" si="9"/>
        <v>7. &lt;br&gt;&lt;b&gt;INTERVIEWER&lt;/b&gt;&lt;br&gt;Did you obtain the consent of the participant?</v>
      </c>
      <c r="S62" s="11" t="s">
        <v>279</v>
      </c>
      <c r="T62" s="11"/>
      <c r="U62" s="11"/>
      <c r="V62" s="12"/>
      <c r="W62" s="12"/>
      <c r="X62" s="12"/>
      <c r="Y62" s="12"/>
      <c r="Z62" s="12"/>
    </row>
    <row r="63" spans="1:26" ht="114.75" hidden="1" outlineLevel="2" x14ac:dyDescent="0.2">
      <c r="A63" s="8"/>
      <c r="B63" s="12"/>
      <c r="C63" s="114" t="s">
        <v>76</v>
      </c>
      <c r="D63" s="10" t="s">
        <v>280</v>
      </c>
      <c r="E63" s="15" t="s">
        <v>91</v>
      </c>
      <c r="F63" s="15">
        <v>2</v>
      </c>
      <c r="G63" s="15">
        <f t="shared" si="6"/>
        <v>7</v>
      </c>
      <c r="H63" s="10" t="s">
        <v>281</v>
      </c>
      <c r="I63" s="10"/>
      <c r="J63" s="10"/>
      <c r="K63" s="10"/>
      <c r="L63" s="10" t="s">
        <v>282</v>
      </c>
      <c r="M63" s="10"/>
      <c r="N63" s="10"/>
      <c r="O63" s="10"/>
      <c r="P63" s="10"/>
      <c r="Q63" s="10"/>
      <c r="R63" s="11" t="str">
        <f t="shared" si="9"/>
        <v xml:space="preserve">&lt;font color="blue"&gt;
&lt;b&gt;Interviewer:&lt;/b&gt;&lt;br&gt;
&lt;br&gt;
The outlet ID is:  &lt;font color="red"&gt;${outletid}&lt;/font&gt;
&lt;br&gt;
&lt;br&gt;&lt;font color="blue"&gt;Write this ID on the top of the consent form before proceeding with the interview.
</v>
      </c>
      <c r="S63" s="11" t="s">
        <v>283</v>
      </c>
      <c r="T63" s="11"/>
      <c r="U63" s="11"/>
      <c r="V63" s="12"/>
      <c r="W63" s="12"/>
      <c r="X63" s="12"/>
      <c r="Y63" s="12"/>
      <c r="Z63" s="12"/>
    </row>
    <row r="64" spans="1:26" ht="76.5" hidden="1" outlineLevel="2" x14ac:dyDescent="0.2">
      <c r="A64" s="8"/>
      <c r="B64" s="37"/>
      <c r="C64" s="114" t="s">
        <v>76</v>
      </c>
      <c r="D64" s="10" t="s">
        <v>284</v>
      </c>
      <c r="E64" s="15" t="s">
        <v>91</v>
      </c>
      <c r="F64" s="15">
        <v>2</v>
      </c>
      <c r="G64" s="15">
        <f t="shared" si="6"/>
        <v>7</v>
      </c>
      <c r="H64" s="10" t="s">
        <v>285</v>
      </c>
      <c r="I64" s="10"/>
      <c r="J64" s="10"/>
      <c r="K64" s="10"/>
      <c r="L64" s="10" t="s">
        <v>286</v>
      </c>
      <c r="M64" s="10"/>
      <c r="N64" s="10"/>
      <c r="O64" s="10"/>
      <c r="P64" s="10"/>
      <c r="Q64" s="10"/>
      <c r="R64" s="11" t="str">
        <f t="shared" si="9"/>
        <v>&lt;font color="blue"&gt;&lt;b&gt;Interviewer:&lt;/b&gt;
&lt;i&gt; If the provider is willing to participate at a more convenient time, arrange time (ideally later today) to return. Come back to this form to complete the survey at that time.&lt;/i&gt;</v>
      </c>
      <c r="S64" s="11" t="s">
        <v>287</v>
      </c>
      <c r="T64" s="11"/>
      <c r="U64" s="11"/>
      <c r="V64" s="12"/>
      <c r="W64" s="12"/>
      <c r="X64" s="12"/>
      <c r="Y64" s="12"/>
      <c r="Z64" s="12"/>
    </row>
    <row r="65" spans="1:26" ht="25.5" hidden="1" outlineLevel="2" x14ac:dyDescent="0.2">
      <c r="A65" s="8"/>
      <c r="B65" s="37"/>
      <c r="C65" s="114" t="s">
        <v>288</v>
      </c>
      <c r="D65" s="10" t="s">
        <v>289</v>
      </c>
      <c r="E65" s="15" t="s">
        <v>83</v>
      </c>
      <c r="F65" s="15">
        <v>2</v>
      </c>
      <c r="G65" s="15">
        <f t="shared" si="6"/>
        <v>8</v>
      </c>
      <c r="H65" s="10" t="s">
        <v>290</v>
      </c>
      <c r="I65" s="10"/>
      <c r="J65" s="10"/>
      <c r="K65" s="10"/>
      <c r="L65" s="10" t="s">
        <v>291</v>
      </c>
      <c r="M65" s="10"/>
      <c r="N65" s="10"/>
      <c r="O65" s="10"/>
      <c r="P65" s="10" t="s">
        <v>83</v>
      </c>
      <c r="Q65" s="10"/>
      <c r="R65" s="11" t="str">
        <f t="shared" si="9"/>
        <v>8. &lt;br&gt;If the provider refused, why?</v>
      </c>
      <c r="S65" s="11" t="s">
        <v>292</v>
      </c>
      <c r="T65" s="11"/>
      <c r="U65" s="11"/>
      <c r="V65" s="12"/>
      <c r="W65" s="12"/>
      <c r="X65" s="12"/>
      <c r="Y65" s="12"/>
      <c r="Z65" s="12"/>
    </row>
    <row r="66" spans="1:26" ht="25.5" hidden="1" outlineLevel="2" x14ac:dyDescent="0.2">
      <c r="A66" s="8"/>
      <c r="B66" s="37"/>
      <c r="C66" s="114" t="s">
        <v>144</v>
      </c>
      <c r="D66" s="10" t="s">
        <v>293</v>
      </c>
      <c r="E66" s="15" t="s">
        <v>91</v>
      </c>
      <c r="F66" s="15">
        <v>2</v>
      </c>
      <c r="G66" s="15">
        <f t="shared" si="6"/>
        <v>8</v>
      </c>
      <c r="H66" s="10" t="s">
        <v>294</v>
      </c>
      <c r="I66" s="10"/>
      <c r="J66" s="10"/>
      <c r="K66" s="10"/>
      <c r="L66" s="10" t="s">
        <v>295</v>
      </c>
      <c r="M66" s="10"/>
      <c r="N66" s="10"/>
      <c r="O66" s="10"/>
      <c r="P66" s="10" t="s">
        <v>83</v>
      </c>
      <c r="Q66" s="10"/>
      <c r="R66" s="11" t="str">
        <f t="shared" si="9"/>
        <v>Specify other reason</v>
      </c>
      <c r="S66" s="11" t="s">
        <v>296</v>
      </c>
      <c r="T66" s="11"/>
      <c r="U66" s="11"/>
      <c r="V66" s="12"/>
      <c r="W66" s="12"/>
      <c r="X66" s="12"/>
      <c r="Y66" s="12"/>
      <c r="Z66" s="12"/>
    </row>
    <row r="67" spans="1:26" ht="216.75" hidden="1" outlineLevel="2" x14ac:dyDescent="0.2">
      <c r="A67" s="8"/>
      <c r="B67" s="37"/>
      <c r="C67" s="114" t="s">
        <v>76</v>
      </c>
      <c r="D67" s="10" t="s">
        <v>297</v>
      </c>
      <c r="E67" s="15" t="s">
        <v>91</v>
      </c>
      <c r="F67" s="15">
        <v>2</v>
      </c>
      <c r="G67" s="15">
        <f t="shared" si="6"/>
        <v>8</v>
      </c>
      <c r="H67" s="12" t="s">
        <v>298</v>
      </c>
      <c r="I67" s="10"/>
      <c r="J67" s="10"/>
      <c r="K67" s="10"/>
      <c r="L67" s="10" t="s">
        <v>299</v>
      </c>
      <c r="M67" s="10"/>
      <c r="N67" s="10"/>
      <c r="O67" s="10"/>
      <c r="P67" s="10"/>
      <c r="Q67" s="10"/>
      <c r="R67" s="11" t="str">
        <f t="shared" si="9"/>
        <v>&lt;font color="blue"&gt;&lt;b&gt;Interviewer:&lt;/b&gt;
&lt;br&gt;
&lt;br&gt;The interview could not be completed at this outlet. 
&lt;br&gt;
&lt;br&gt;&lt;i&gt; &lt;b&gt;If the provider is available and willing to participate at a more convenient time&lt;/b&gt;, arrange time (ideally later today) to return. Come back to this form to complete the survey at that time.
&lt;br&gt; 
&lt;b&gt; If not, &lt;/b&gt; thank the respondent for their time
&lt;br&gt;
&lt;br&gt; Save this form. 
&lt;br&gt;
&lt;br&gt; Proceed to the next outlet. 
&lt;/i&gt;</v>
      </c>
      <c r="S67" s="11" t="s">
        <v>300</v>
      </c>
      <c r="T67" s="11"/>
      <c r="U67" s="11"/>
      <c r="V67" s="12"/>
      <c r="W67" s="12"/>
      <c r="X67" s="12"/>
      <c r="Y67" s="12"/>
      <c r="Z67" s="12"/>
    </row>
    <row r="68" spans="1:26" ht="102" hidden="1" outlineLevel="2" x14ac:dyDescent="0.2">
      <c r="A68" s="8"/>
      <c r="B68" s="37"/>
      <c r="C68" s="114" t="s">
        <v>76</v>
      </c>
      <c r="D68" s="10" t="s">
        <v>301</v>
      </c>
      <c r="E68" s="15" t="s">
        <v>91</v>
      </c>
      <c r="F68" s="15">
        <v>2</v>
      </c>
      <c r="G68" s="15">
        <f t="shared" si="6"/>
        <v>8</v>
      </c>
      <c r="H68" s="10" t="s">
        <v>302</v>
      </c>
      <c r="I68" s="10"/>
      <c r="J68" s="10"/>
      <c r="K68" s="10"/>
      <c r="L68" s="10" t="s">
        <v>303</v>
      </c>
      <c r="M68" s="10"/>
      <c r="N68" s="10"/>
      <c r="O68" s="10"/>
      <c r="P68" s="10"/>
      <c r="Q68" s="10"/>
      <c r="R68" s="11" t="str">
        <f t="shared" si="9"/>
        <v xml:space="preserve">&lt;font color="blue"&gt;&lt;b&gt;Interviewer:&lt;/b&gt;
&lt;i&gt; &lt;br&gt;
&lt;br&gt;The interview could not be completed at this outlet. 
&lt;br&gt;
&lt;br&gt; Save this form. 
&lt;br&gt;
&lt;br&gt; Proceed to the next outlet. </v>
      </c>
      <c r="S68" s="11" t="s">
        <v>304</v>
      </c>
      <c r="T68" s="11"/>
      <c r="U68" s="11"/>
      <c r="V68" s="12"/>
      <c r="W68" s="12"/>
      <c r="X68" s="12"/>
      <c r="Y68" s="12"/>
      <c r="Z68" s="12"/>
    </row>
    <row r="69" spans="1:26" ht="15.75" hidden="1" outlineLevel="2" x14ac:dyDescent="0.2">
      <c r="A69" s="8"/>
      <c r="B69" s="37"/>
      <c r="C69" s="114" t="s">
        <v>174</v>
      </c>
      <c r="D69" s="10" t="s">
        <v>268</v>
      </c>
      <c r="E69" s="15" t="s">
        <v>91</v>
      </c>
      <c r="F69" s="15">
        <v>2</v>
      </c>
      <c r="G69" s="15">
        <f t="shared" si="6"/>
        <v>8</v>
      </c>
      <c r="H69" s="10"/>
      <c r="I69" s="10"/>
      <c r="J69" s="10"/>
      <c r="K69" s="10"/>
      <c r="L69" s="10"/>
      <c r="M69" s="10"/>
      <c r="N69" s="10"/>
      <c r="O69" s="10"/>
      <c r="P69" s="10"/>
      <c r="Q69" s="10"/>
      <c r="R69" s="11"/>
      <c r="S69" s="11"/>
      <c r="T69" s="11"/>
      <c r="U69" s="11"/>
      <c r="V69" s="12"/>
      <c r="W69" s="12"/>
      <c r="X69" s="12"/>
      <c r="Y69" s="12"/>
      <c r="Z69" s="12"/>
    </row>
    <row r="70" spans="1:26" ht="15.75" hidden="1" outlineLevel="2" x14ac:dyDescent="0.2">
      <c r="A70" s="8"/>
      <c r="B70" s="37"/>
      <c r="C70" s="19" t="s">
        <v>174</v>
      </c>
      <c r="D70" s="120" t="s">
        <v>178</v>
      </c>
      <c r="E70" s="121" t="s">
        <v>91</v>
      </c>
      <c r="F70" s="121">
        <v>2</v>
      </c>
      <c r="G70" s="121">
        <f t="shared" si="6"/>
        <v>8</v>
      </c>
      <c r="H70" s="120"/>
      <c r="I70" s="120"/>
      <c r="J70" s="120"/>
      <c r="K70" s="120"/>
      <c r="L70" s="120"/>
      <c r="M70" s="120"/>
      <c r="N70" s="120"/>
      <c r="O70" s="120"/>
      <c r="P70" s="120"/>
      <c r="Q70" s="120"/>
      <c r="R70" s="120"/>
      <c r="S70" s="120"/>
      <c r="T70" s="120"/>
      <c r="U70" s="120"/>
      <c r="V70" s="16"/>
      <c r="W70" s="16"/>
      <c r="X70" s="16"/>
      <c r="Y70" s="16"/>
      <c r="Z70" s="16"/>
    </row>
    <row r="71" spans="1:26" ht="54.75" hidden="1" customHeight="1" outlineLevel="2" x14ac:dyDescent="0.2">
      <c r="A71" s="8"/>
      <c r="B71" s="9" t="s">
        <v>305</v>
      </c>
      <c r="C71" s="125" t="s">
        <v>109</v>
      </c>
      <c r="D71" s="26" t="s">
        <v>306</v>
      </c>
      <c r="E71" s="24" t="s">
        <v>91</v>
      </c>
      <c r="F71" s="24">
        <v>2</v>
      </c>
      <c r="G71" s="24">
        <f t="shared" si="6"/>
        <v>8</v>
      </c>
      <c r="H71" s="12" t="s">
        <v>307</v>
      </c>
      <c r="I71" s="26"/>
      <c r="J71" s="26"/>
      <c r="K71" s="26"/>
      <c r="L71" s="26"/>
      <c r="M71" s="26" t="s">
        <v>308</v>
      </c>
      <c r="N71" s="26"/>
      <c r="O71" s="26"/>
      <c r="P71" s="26"/>
      <c r="Q71" s="26"/>
      <c r="R71" s="25" t="str">
        <f t="shared" ref="R71:R73" si="10">IF(E71="no", H71, CONCATENATE(G71,". &lt;br&gt;",H71))</f>
        <v>outlet is NOT eligible or consenting for provider interview</v>
      </c>
      <c r="S71" s="25" t="s">
        <v>309</v>
      </c>
      <c r="T71" s="25"/>
      <c r="U71" s="25"/>
      <c r="V71" s="26"/>
      <c r="W71" s="26"/>
      <c r="X71" s="26"/>
      <c r="Y71" s="26"/>
      <c r="Z71" s="26"/>
    </row>
    <row r="72" spans="1:26" ht="25.5" hidden="1" outlineLevel="2" x14ac:dyDescent="0.2">
      <c r="A72" s="8"/>
      <c r="B72" s="42"/>
      <c r="C72" s="125" t="s">
        <v>109</v>
      </c>
      <c r="D72" s="26" t="s">
        <v>310</v>
      </c>
      <c r="E72" s="24" t="s">
        <v>91</v>
      </c>
      <c r="F72" s="24">
        <v>2</v>
      </c>
      <c r="G72" s="24">
        <f t="shared" si="6"/>
        <v>8</v>
      </c>
      <c r="H72" s="12" t="s">
        <v>311</v>
      </c>
      <c r="I72" s="26"/>
      <c r="J72" s="26"/>
      <c r="K72" s="26"/>
      <c r="L72" s="26"/>
      <c r="M72" s="26" t="s">
        <v>312</v>
      </c>
      <c r="N72" s="26"/>
      <c r="O72" s="26"/>
      <c r="P72" s="26"/>
      <c r="Q72" s="26"/>
      <c r="R72" s="25" t="str">
        <f t="shared" si="10"/>
        <v xml:space="preserve">outlet is eligible, consented, and form type and outlet type are applicable for provider interview - use this variable for skip logic </v>
      </c>
      <c r="S72" s="25" t="s">
        <v>313</v>
      </c>
      <c r="T72" s="25"/>
      <c r="U72" s="25"/>
      <c r="V72" s="26"/>
      <c r="W72" s="26"/>
      <c r="X72" s="26"/>
      <c r="Y72" s="26"/>
      <c r="Z72" s="26"/>
    </row>
    <row r="73" spans="1:26" ht="15.75" hidden="1" outlineLevel="2" x14ac:dyDescent="0.2">
      <c r="A73" s="8"/>
      <c r="B73" s="26"/>
      <c r="C73" s="125" t="s">
        <v>109</v>
      </c>
      <c r="D73" s="26" t="s">
        <v>314</v>
      </c>
      <c r="E73" s="24" t="s">
        <v>91</v>
      </c>
      <c r="F73" s="24">
        <v>2</v>
      </c>
      <c r="G73" s="24">
        <f t="shared" si="6"/>
        <v>8</v>
      </c>
      <c r="H73" s="12" t="s">
        <v>315</v>
      </c>
      <c r="I73" s="26"/>
      <c r="J73" s="26"/>
      <c r="K73" s="26"/>
      <c r="L73" s="26"/>
      <c r="M73" s="26" t="s">
        <v>316</v>
      </c>
      <c r="N73" s="26"/>
      <c r="O73" s="26"/>
      <c r="P73" s="26"/>
      <c r="Q73" s="26"/>
      <c r="R73" s="25" t="str">
        <f t="shared" si="10"/>
        <v>outlet is eligible, consented, and form type and outlet type are applicable for audit</v>
      </c>
      <c r="S73" s="25" t="s">
        <v>317</v>
      </c>
      <c r="T73" s="25"/>
      <c r="U73" s="25"/>
      <c r="V73" s="26"/>
      <c r="W73" s="26"/>
      <c r="X73" s="26"/>
      <c r="Y73" s="26"/>
      <c r="Z73" s="26"/>
    </row>
    <row r="74" spans="1:26" hidden="1" outlineLevel="1" x14ac:dyDescent="0.2">
      <c r="A74" s="9" t="s">
        <v>175</v>
      </c>
      <c r="B74" s="12"/>
      <c r="C74" s="123"/>
      <c r="D74" s="12"/>
      <c r="E74" s="15"/>
      <c r="F74" s="15"/>
      <c r="G74" s="15"/>
      <c r="H74" s="12"/>
      <c r="I74" s="12"/>
      <c r="J74" s="12"/>
      <c r="K74" s="12"/>
      <c r="L74" s="12"/>
      <c r="M74" s="12"/>
      <c r="N74" s="12"/>
      <c r="O74" s="12"/>
      <c r="P74" s="12"/>
      <c r="Q74" s="12"/>
      <c r="R74" s="11"/>
      <c r="S74" s="11"/>
      <c r="T74" s="11"/>
      <c r="U74" s="11"/>
      <c r="V74" s="12"/>
      <c r="W74" s="12"/>
      <c r="X74" s="12"/>
      <c r="Y74" s="12"/>
      <c r="Z74" s="12"/>
    </row>
    <row r="75" spans="1:26" hidden="1" x14ac:dyDescent="0.2">
      <c r="A75" s="9" t="s">
        <v>318</v>
      </c>
      <c r="B75" s="12"/>
      <c r="C75" s="123"/>
      <c r="D75" s="12"/>
      <c r="E75" s="15"/>
      <c r="F75" s="15"/>
      <c r="G75" s="15"/>
      <c r="H75" s="12"/>
      <c r="I75" s="12"/>
      <c r="J75" s="12"/>
      <c r="K75" s="12"/>
      <c r="L75" s="12"/>
      <c r="M75" s="12"/>
      <c r="N75" s="12"/>
      <c r="O75" s="12"/>
      <c r="P75" s="12"/>
      <c r="Q75" s="12"/>
      <c r="R75" s="11"/>
      <c r="S75" s="11"/>
      <c r="T75" s="11"/>
      <c r="U75" s="11"/>
      <c r="V75" s="12"/>
      <c r="W75" s="12"/>
      <c r="X75" s="12"/>
      <c r="Y75" s="12"/>
      <c r="Z75" s="12"/>
    </row>
    <row r="76" spans="1:26" hidden="1" x14ac:dyDescent="0.2">
      <c r="A76" s="43"/>
      <c r="B76" s="44"/>
      <c r="C76" s="44"/>
      <c r="D76" s="44"/>
      <c r="E76" s="45"/>
      <c r="F76" s="45"/>
      <c r="G76" s="45"/>
      <c r="H76" s="44"/>
      <c r="I76" s="44"/>
      <c r="J76" s="44"/>
      <c r="K76" s="44"/>
      <c r="L76" s="44"/>
      <c r="M76" s="44"/>
      <c r="N76" s="44"/>
      <c r="O76" s="44"/>
      <c r="P76" s="44"/>
      <c r="Q76" s="44"/>
      <c r="R76" s="46"/>
      <c r="S76" s="46"/>
      <c r="T76" s="46"/>
      <c r="U76" s="46"/>
      <c r="V76" s="44"/>
      <c r="W76" s="44"/>
      <c r="X76" s="44"/>
      <c r="Y76" s="44"/>
      <c r="Z76" s="44"/>
    </row>
    <row r="77" spans="1:26" hidden="1" x14ac:dyDescent="0.2">
      <c r="A77" s="43"/>
      <c r="B77" s="44"/>
      <c r="C77" s="44"/>
      <c r="D77" s="44"/>
      <c r="E77" s="45"/>
      <c r="F77" s="45"/>
      <c r="G77" s="45"/>
      <c r="H77" s="44"/>
      <c r="I77" s="44"/>
      <c r="J77" s="44"/>
      <c r="K77" s="44"/>
      <c r="L77" s="44"/>
      <c r="M77" s="44"/>
      <c r="N77" s="44"/>
      <c r="O77" s="44"/>
      <c r="P77" s="44"/>
      <c r="Q77" s="44"/>
      <c r="R77" s="46"/>
      <c r="S77" s="46"/>
      <c r="T77" s="46"/>
      <c r="U77" s="46"/>
      <c r="V77" s="44"/>
      <c r="W77" s="44"/>
      <c r="X77" s="44"/>
      <c r="Y77" s="44"/>
      <c r="Z77" s="44"/>
    </row>
    <row r="78" spans="1:26" hidden="1" x14ac:dyDescent="0.2">
      <c r="A78" s="43"/>
      <c r="B78" s="44"/>
      <c r="C78" s="44"/>
      <c r="D78" s="44"/>
      <c r="E78" s="45"/>
      <c r="F78" s="45"/>
      <c r="G78" s="45"/>
      <c r="H78" s="44"/>
      <c r="I78" s="44"/>
      <c r="J78" s="44"/>
      <c r="K78" s="44"/>
      <c r="L78" s="44"/>
      <c r="M78" s="44"/>
      <c r="N78" s="44"/>
      <c r="O78" s="44"/>
      <c r="P78" s="44"/>
      <c r="Q78" s="44"/>
      <c r="R78" s="46"/>
      <c r="S78" s="46"/>
      <c r="T78" s="46"/>
      <c r="U78" s="46"/>
      <c r="V78" s="44"/>
      <c r="W78" s="44"/>
      <c r="X78" s="44"/>
      <c r="Y78" s="44"/>
      <c r="Z78" s="44"/>
    </row>
    <row r="79" spans="1:26" hidden="1" x14ac:dyDescent="0.2">
      <c r="A79" s="43"/>
      <c r="B79" s="44"/>
      <c r="C79" s="44"/>
      <c r="D79" s="44"/>
      <c r="E79" s="45"/>
      <c r="F79" s="45"/>
      <c r="G79" s="45"/>
      <c r="H79" s="44"/>
      <c r="I79" s="44"/>
      <c r="J79" s="44"/>
      <c r="K79" s="44"/>
      <c r="L79" s="44"/>
      <c r="M79" s="44"/>
      <c r="N79" s="44"/>
      <c r="O79" s="44"/>
      <c r="P79" s="44"/>
      <c r="Q79" s="44"/>
      <c r="R79" s="46"/>
      <c r="S79" s="46"/>
      <c r="T79" s="46"/>
      <c r="U79" s="46"/>
      <c r="V79" s="44"/>
      <c r="W79" s="44"/>
      <c r="X79" s="44"/>
      <c r="Y79" s="44"/>
      <c r="Z79" s="44"/>
    </row>
    <row r="80" spans="1:26" ht="15.75" hidden="1" x14ac:dyDescent="0.2">
      <c r="A80" s="47"/>
      <c r="B80" s="44"/>
      <c r="C80" s="44"/>
      <c r="D80" s="44"/>
      <c r="E80" s="45"/>
      <c r="F80" s="45"/>
      <c r="G80" s="45"/>
      <c r="H80" s="44"/>
      <c r="I80" s="44"/>
      <c r="J80" s="44"/>
      <c r="K80" s="44"/>
      <c r="L80" s="44"/>
      <c r="M80" s="44"/>
      <c r="N80" s="44"/>
      <c r="O80" s="44"/>
      <c r="P80" s="44"/>
      <c r="Q80" s="44"/>
      <c r="R80" s="46"/>
      <c r="S80" s="46"/>
      <c r="T80" s="46"/>
      <c r="U80" s="46"/>
      <c r="V80" s="44"/>
      <c r="W80" s="44"/>
      <c r="X80" s="44"/>
      <c r="Y80" s="44"/>
      <c r="Z80" s="44"/>
    </row>
    <row r="81" spans="1:26" ht="38.25" x14ac:dyDescent="0.2">
      <c r="A81" s="119"/>
      <c r="B81" s="116" t="s">
        <v>319</v>
      </c>
      <c r="C81" s="123" t="s">
        <v>89</v>
      </c>
      <c r="D81" s="12" t="s">
        <v>320</v>
      </c>
      <c r="E81" s="15"/>
      <c r="F81" s="15"/>
      <c r="G81" s="15"/>
      <c r="H81" s="12"/>
      <c r="I81" s="12"/>
      <c r="J81" s="12"/>
      <c r="K81" s="12"/>
      <c r="L81" s="12" t="s">
        <v>321</v>
      </c>
      <c r="M81" s="12"/>
      <c r="N81" s="12"/>
      <c r="O81" s="12"/>
      <c r="P81" s="12"/>
      <c r="Q81" s="12"/>
      <c r="R81" s="11" t="s">
        <v>322</v>
      </c>
      <c r="S81" s="11"/>
      <c r="T81" s="11"/>
      <c r="U81" s="11"/>
      <c r="V81" s="12"/>
      <c r="W81" s="12"/>
      <c r="X81" s="12"/>
      <c r="Y81" s="12"/>
      <c r="Z81" s="12"/>
    </row>
    <row r="82" spans="1:26" ht="15.75" hidden="1" x14ac:dyDescent="0.2">
      <c r="A82" s="8"/>
      <c r="B82" s="37"/>
      <c r="C82" s="128"/>
      <c r="D82" s="12"/>
      <c r="E82" s="15"/>
      <c r="F82" s="15"/>
      <c r="G82" s="15"/>
      <c r="H82" s="38"/>
      <c r="I82" s="12"/>
      <c r="J82" s="12"/>
      <c r="K82" s="12"/>
      <c r="L82" s="10"/>
      <c r="M82" s="12"/>
      <c r="N82" s="12"/>
      <c r="O82" s="12"/>
      <c r="P82" s="12"/>
      <c r="Q82" s="12"/>
      <c r="R82" s="11"/>
      <c r="S82" s="11"/>
      <c r="T82" s="11"/>
      <c r="U82" s="11"/>
      <c r="V82" s="12"/>
      <c r="W82" s="12"/>
      <c r="X82" s="12"/>
      <c r="Y82" s="12"/>
      <c r="Z82" s="12"/>
    </row>
    <row r="83" spans="1:26" ht="127.5" hidden="1" x14ac:dyDescent="0.2">
      <c r="A83" s="115" t="s">
        <v>323</v>
      </c>
      <c r="B83" s="116" t="s">
        <v>324</v>
      </c>
      <c r="C83" s="117"/>
      <c r="D83" s="16"/>
      <c r="E83" s="17"/>
      <c r="F83" s="17"/>
      <c r="G83" s="17"/>
      <c r="H83" s="16"/>
      <c r="I83" s="16"/>
      <c r="J83" s="16"/>
      <c r="K83" s="16"/>
      <c r="L83" s="16"/>
      <c r="M83" s="16"/>
      <c r="N83" s="16"/>
      <c r="O83" s="16"/>
      <c r="P83" s="16"/>
      <c r="Q83" s="16"/>
      <c r="R83" s="16"/>
      <c r="S83" s="16"/>
      <c r="T83" s="16"/>
      <c r="U83" s="16"/>
      <c r="V83" s="16"/>
      <c r="W83" s="16"/>
      <c r="X83" s="16"/>
      <c r="Y83" s="16"/>
      <c r="Z83" s="16"/>
    </row>
    <row r="84" spans="1:26" ht="15.75" hidden="1" outlineLevel="1" x14ac:dyDescent="0.2">
      <c r="A84" s="8"/>
      <c r="B84" s="37"/>
      <c r="C84" s="128"/>
      <c r="D84" s="12"/>
      <c r="E84" s="15"/>
      <c r="F84" s="15"/>
      <c r="G84" s="15"/>
      <c r="H84" s="38"/>
      <c r="I84" s="12"/>
      <c r="J84" s="12"/>
      <c r="K84" s="12"/>
      <c r="L84" s="10"/>
      <c r="M84" s="12"/>
      <c r="N84" s="12"/>
      <c r="O84" s="12"/>
      <c r="P84" s="12"/>
      <c r="Q84" s="12"/>
      <c r="R84" s="11"/>
      <c r="S84" s="11"/>
      <c r="T84" s="11"/>
      <c r="U84" s="11"/>
      <c r="V84" s="12"/>
      <c r="W84" s="12"/>
      <c r="X84" s="12"/>
      <c r="Y84" s="12"/>
      <c r="Z84" s="12"/>
    </row>
    <row r="85" spans="1:26" ht="63.75" outlineLevel="1" x14ac:dyDescent="0.2">
      <c r="A85" s="119" t="s">
        <v>325</v>
      </c>
      <c r="B85" s="116" t="s">
        <v>326</v>
      </c>
      <c r="C85" s="19" t="s">
        <v>89</v>
      </c>
      <c r="D85" s="120" t="s">
        <v>327</v>
      </c>
      <c r="E85" s="121" t="s">
        <v>91</v>
      </c>
      <c r="F85" s="121" t="s">
        <v>328</v>
      </c>
      <c r="G85" s="121" t="s">
        <v>329</v>
      </c>
      <c r="H85" s="122" t="s">
        <v>330</v>
      </c>
      <c r="I85" s="120"/>
      <c r="J85" s="120"/>
      <c r="K85" s="120"/>
      <c r="L85" s="120" t="s">
        <v>331</v>
      </c>
      <c r="M85" s="120"/>
      <c r="N85" s="120"/>
      <c r="O85" s="120"/>
      <c r="P85" s="120"/>
      <c r="Q85" s="120"/>
      <c r="R85" s="120" t="str">
        <f t="shared" ref="R85:R93" si="11">IF(E85="no", H85, CONCATENATE(G85,". &lt;br&gt;",H85))</f>
        <v>Section 1. Outlet characteristics</v>
      </c>
      <c r="S85" s="120" t="s">
        <v>332</v>
      </c>
      <c r="T85" s="120"/>
      <c r="U85" s="120"/>
      <c r="V85" s="16"/>
      <c r="W85" s="16"/>
      <c r="X85" s="16"/>
      <c r="Y85" s="16"/>
      <c r="Z85" s="16"/>
    </row>
    <row r="86" spans="1:26" ht="153" hidden="1" outlineLevel="2" x14ac:dyDescent="0.2">
      <c r="A86" s="8"/>
      <c r="B86" s="12"/>
      <c r="C86" s="114" t="s">
        <v>76</v>
      </c>
      <c r="D86" s="10" t="s">
        <v>333</v>
      </c>
      <c r="E86" s="15" t="s">
        <v>91</v>
      </c>
      <c r="F86" s="15" t="s">
        <v>328</v>
      </c>
      <c r="G86" s="15" t="s">
        <v>329</v>
      </c>
      <c r="H86" s="10" t="s">
        <v>334</v>
      </c>
      <c r="I86" s="10"/>
      <c r="J86" s="10"/>
      <c r="K86" s="10"/>
      <c r="L86" s="10"/>
      <c r="M86" s="10"/>
      <c r="N86" s="10"/>
      <c r="O86" s="10"/>
      <c r="P86" s="10"/>
      <c r="Q86" s="10"/>
      <c r="R86" s="11" t="str">
        <f t="shared" si="11"/>
        <v>&lt;br&gt;&lt;br&gt;&lt;h4&gt;Provider module section 1. Outlet characteristics&lt;/h4&gt;&lt;br&gt;&lt;br&gt;
&lt;font color="blue"&gt;
&lt;b&gt;Interviewer:&lt;/b&gt;&lt;br&gt;
&lt;i&gt;For the following questions, ask to speak with a store manager or staff member whose responsibilities include providing prescriptions, treatment, or medicines to clients.&lt;i&gt;
&lt;/font&gt;</v>
      </c>
      <c r="S86" s="11" t="s">
        <v>335</v>
      </c>
      <c r="T86" s="11"/>
      <c r="U86" s="11"/>
      <c r="V86" s="12"/>
      <c r="W86" s="12"/>
      <c r="X86" s="12"/>
      <c r="Y86" s="12"/>
      <c r="Z86" s="12"/>
    </row>
    <row r="87" spans="1:26" ht="47.25" hidden="1" outlineLevel="2" x14ac:dyDescent="0.2">
      <c r="A87" s="48" t="s">
        <v>336</v>
      </c>
      <c r="B87" s="9" t="s">
        <v>337</v>
      </c>
      <c r="C87" s="114" t="s">
        <v>338</v>
      </c>
      <c r="D87" s="10" t="s">
        <v>339</v>
      </c>
      <c r="E87" s="15" t="s">
        <v>83</v>
      </c>
      <c r="F87" s="15" t="s">
        <v>328</v>
      </c>
      <c r="G87" s="15">
        <f t="shared" ref="G87:G96" si="12">IF(E87="no", G86, IF(F87=F86, G86+1, 1))</f>
        <v>1</v>
      </c>
      <c r="H87" s="10" t="s">
        <v>340</v>
      </c>
      <c r="I87" s="10" t="s">
        <v>341</v>
      </c>
      <c r="J87" s="10"/>
      <c r="K87" s="10" t="s">
        <v>342</v>
      </c>
      <c r="L87" s="10"/>
      <c r="M87" s="10"/>
      <c r="N87" s="10"/>
      <c r="O87" s="10"/>
      <c r="P87" s="10" t="s">
        <v>83</v>
      </c>
      <c r="Q87" s="10"/>
      <c r="R87" s="11" t="str">
        <f t="shared" si="11"/>
        <v xml:space="preserve">1. &lt;br&gt;&lt;br&gt; Approximately when is this outlet usually open? </v>
      </c>
      <c r="S87" s="11" t="s">
        <v>343</v>
      </c>
      <c r="T87" s="11" t="s">
        <v>344</v>
      </c>
      <c r="U87" s="11"/>
      <c r="V87" s="12"/>
      <c r="W87" s="12"/>
      <c r="X87" s="12"/>
      <c r="Y87" s="12"/>
      <c r="Z87" s="12"/>
    </row>
    <row r="88" spans="1:26" ht="25.5" hidden="1" outlineLevel="2" x14ac:dyDescent="0.2">
      <c r="A88" s="8"/>
      <c r="B88" s="9" t="s">
        <v>345</v>
      </c>
      <c r="C88" s="114" t="s">
        <v>144</v>
      </c>
      <c r="D88" s="10" t="s">
        <v>346</v>
      </c>
      <c r="E88" s="15" t="s">
        <v>91</v>
      </c>
      <c r="F88" s="15" t="s">
        <v>328</v>
      </c>
      <c r="G88" s="15">
        <f t="shared" si="12"/>
        <v>1</v>
      </c>
      <c r="H88" s="10" t="s">
        <v>347</v>
      </c>
      <c r="I88" s="10"/>
      <c r="J88" s="10"/>
      <c r="K88" s="10"/>
      <c r="L88" s="10" t="s">
        <v>348</v>
      </c>
      <c r="M88" s="10"/>
      <c r="N88" s="10"/>
      <c r="O88" s="10"/>
      <c r="P88" s="10"/>
      <c r="Q88" s="10"/>
      <c r="R88" s="11" t="str">
        <f t="shared" si="11"/>
        <v xml:space="preserve">Opening hours - other specify: </v>
      </c>
      <c r="S88" s="11" t="s">
        <v>349</v>
      </c>
      <c r="T88" s="11"/>
      <c r="U88" s="11"/>
      <c r="V88" s="12"/>
      <c r="W88" s="12"/>
      <c r="X88" s="12"/>
      <c r="Y88" s="12"/>
      <c r="Z88" s="12"/>
    </row>
    <row r="89" spans="1:26" ht="76.5" hidden="1" outlineLevel="2" x14ac:dyDescent="0.2">
      <c r="A89" s="8"/>
      <c r="B89" s="38"/>
      <c r="C89" s="114" t="s">
        <v>350</v>
      </c>
      <c r="D89" s="10" t="s">
        <v>351</v>
      </c>
      <c r="E89" s="15" t="s">
        <v>83</v>
      </c>
      <c r="F89" s="15" t="s">
        <v>328</v>
      </c>
      <c r="G89" s="15">
        <f t="shared" si="12"/>
        <v>2</v>
      </c>
      <c r="H89" s="10" t="s">
        <v>352</v>
      </c>
      <c r="I89" s="10" t="s">
        <v>353</v>
      </c>
      <c r="J89" s="10" t="s">
        <v>354</v>
      </c>
      <c r="K89" s="10" t="s">
        <v>355</v>
      </c>
      <c r="L89" s="10" t="s">
        <v>166</v>
      </c>
      <c r="M89" s="10"/>
      <c r="N89" s="10" t="s">
        <v>356</v>
      </c>
      <c r="O89" s="10"/>
      <c r="P89" s="10" t="s">
        <v>83</v>
      </c>
      <c r="Q89" s="10"/>
      <c r="R89" s="11" t="str">
        <f t="shared" si="11"/>
        <v>2. &lt;br&gt;&lt;br&gt; Do you know what year this outlet/ business was established?</v>
      </c>
      <c r="S89" s="11" t="s">
        <v>357</v>
      </c>
      <c r="T89" s="11" t="s">
        <v>358</v>
      </c>
      <c r="U89" s="11" t="s">
        <v>359</v>
      </c>
      <c r="V89" s="12"/>
      <c r="W89" s="12"/>
      <c r="X89" s="12"/>
      <c r="Y89" s="12"/>
      <c r="Z89" s="12"/>
    </row>
    <row r="90" spans="1:26" ht="76.5" hidden="1" outlineLevel="2" x14ac:dyDescent="0.2">
      <c r="A90" s="8"/>
      <c r="B90" s="12"/>
      <c r="C90" s="114" t="s">
        <v>350</v>
      </c>
      <c r="D90" s="10" t="s">
        <v>360</v>
      </c>
      <c r="E90" s="15" t="s">
        <v>83</v>
      </c>
      <c r="F90" s="15" t="s">
        <v>328</v>
      </c>
      <c r="G90" s="15">
        <f t="shared" si="12"/>
        <v>3</v>
      </c>
      <c r="H90" s="10" t="s">
        <v>361</v>
      </c>
      <c r="I90" s="10" t="s">
        <v>362</v>
      </c>
      <c r="J90" s="10" t="s">
        <v>363</v>
      </c>
      <c r="K90" s="10" t="s">
        <v>364</v>
      </c>
      <c r="L90" s="10" t="s">
        <v>166</v>
      </c>
      <c r="M90" s="10"/>
      <c r="N90" s="10" t="s">
        <v>356</v>
      </c>
      <c r="O90" s="10"/>
      <c r="P90" s="10" t="s">
        <v>83</v>
      </c>
      <c r="Q90" s="10"/>
      <c r="R90" s="11" t="str">
        <f t="shared" si="11"/>
        <v>3. &lt;br&gt;&lt;br&gt; How many people work here?</v>
      </c>
      <c r="S90" s="11" t="s">
        <v>365</v>
      </c>
      <c r="T90" s="11" t="s">
        <v>366</v>
      </c>
      <c r="U90" s="11" t="s">
        <v>367</v>
      </c>
      <c r="V90" s="12"/>
      <c r="W90" s="12"/>
      <c r="X90" s="12"/>
      <c r="Y90" s="12"/>
      <c r="Z90" s="12"/>
    </row>
    <row r="91" spans="1:26" ht="89.25" hidden="1" outlineLevel="2" x14ac:dyDescent="0.2">
      <c r="A91" s="8"/>
      <c r="B91" s="49"/>
      <c r="C91" s="114" t="s">
        <v>76</v>
      </c>
      <c r="D91" s="10" t="s">
        <v>368</v>
      </c>
      <c r="E91" s="15" t="s">
        <v>91</v>
      </c>
      <c r="F91" s="15" t="s">
        <v>328</v>
      </c>
      <c r="G91" s="15">
        <f t="shared" si="12"/>
        <v>3</v>
      </c>
      <c r="H91" s="10" t="s">
        <v>369</v>
      </c>
      <c r="I91" s="10"/>
      <c r="J91" s="10"/>
      <c r="K91" s="10"/>
      <c r="L91" s="10" t="s">
        <v>370</v>
      </c>
      <c r="M91" s="10"/>
      <c r="N91" s="10"/>
      <c r="O91" s="10"/>
      <c r="P91" s="10"/>
      <c r="Q91" s="10"/>
      <c r="R91" s="11" t="str">
        <f t="shared" si="11"/>
        <v>&lt;font color="red"&gt;
&lt;b&gt;Interviewer: &lt;/b&gt;
&lt;i&gt;Confirm &lt;font color="blue"&gt;${char4} &lt;/font&gt;is the correct number of staff the respondent has reported to work at this outlet/ business before proceeding&lt;/i&gt;
&lt;/font&gt;</v>
      </c>
      <c r="S91" s="11" t="s">
        <v>371</v>
      </c>
      <c r="T91" s="11"/>
      <c r="U91" s="11"/>
      <c r="V91" s="12"/>
      <c r="W91" s="12"/>
      <c r="X91" s="12"/>
      <c r="Y91" s="12"/>
      <c r="Z91" s="12"/>
    </row>
    <row r="92" spans="1:26" ht="130.5" hidden="1" customHeight="1" outlineLevel="2" x14ac:dyDescent="0.2">
      <c r="A92" s="48" t="s">
        <v>372</v>
      </c>
      <c r="B92" s="9" t="s">
        <v>373</v>
      </c>
      <c r="C92" s="114" t="s">
        <v>374</v>
      </c>
      <c r="D92" s="10" t="s">
        <v>375</v>
      </c>
      <c r="E92" s="15" t="s">
        <v>83</v>
      </c>
      <c r="F92" s="15" t="s">
        <v>328</v>
      </c>
      <c r="G92" s="15">
        <f t="shared" si="12"/>
        <v>4</v>
      </c>
      <c r="H92" s="12" t="s">
        <v>376</v>
      </c>
      <c r="I92" s="10"/>
      <c r="J92" s="10"/>
      <c r="K92" s="10"/>
      <c r="L92" s="10"/>
      <c r="M92" s="10"/>
      <c r="N92" s="10"/>
      <c r="O92" s="10"/>
      <c r="P92" s="12" t="s">
        <v>83</v>
      </c>
      <c r="Q92" s="10"/>
      <c r="R92" s="11" t="str">
        <f t="shared" si="11"/>
        <v>4. &lt;br&gt;&lt;br&gt; Does this outlet have the correct license/ registration to sell medicines here?</v>
      </c>
      <c r="S92" s="11" t="s">
        <v>377</v>
      </c>
      <c r="T92" s="11"/>
      <c r="U92" s="11"/>
      <c r="V92" s="12"/>
      <c r="W92" s="12"/>
      <c r="X92" s="12"/>
      <c r="Y92" s="12"/>
      <c r="Z92" s="12"/>
    </row>
    <row r="93" spans="1:26" ht="141.75" hidden="1" outlineLevel="2" x14ac:dyDescent="0.2">
      <c r="A93" s="48" t="s">
        <v>378</v>
      </c>
      <c r="B93" s="9" t="s">
        <v>379</v>
      </c>
      <c r="C93" s="114" t="s">
        <v>212</v>
      </c>
      <c r="D93" s="10" t="s">
        <v>380</v>
      </c>
      <c r="E93" s="15" t="s">
        <v>83</v>
      </c>
      <c r="F93" s="15" t="s">
        <v>328</v>
      </c>
      <c r="G93" s="15">
        <f t="shared" si="12"/>
        <v>5</v>
      </c>
      <c r="H93" s="10" t="s">
        <v>381</v>
      </c>
      <c r="I93" s="10"/>
      <c r="J93" s="10"/>
      <c r="K93" s="10"/>
      <c r="L93" s="10"/>
      <c r="M93" s="10"/>
      <c r="N93" s="10"/>
      <c r="O93" s="10"/>
      <c r="P93" s="12" t="s">
        <v>83</v>
      </c>
      <c r="Q93" s="10"/>
      <c r="R93" s="11" t="str">
        <f t="shared" si="11"/>
        <v>5. &lt;br&gt;&lt;br&gt; Has this establishment received a government inspection in the last year?</v>
      </c>
      <c r="S93" s="11" t="s">
        <v>382</v>
      </c>
      <c r="T93" s="11"/>
      <c r="U93" s="11"/>
      <c r="V93" s="12"/>
      <c r="W93" s="12"/>
      <c r="X93" s="12"/>
      <c r="Y93" s="12"/>
      <c r="Z93" s="12"/>
    </row>
    <row r="94" spans="1:26" ht="25.5" outlineLevel="2" x14ac:dyDescent="0.2">
      <c r="A94" s="8"/>
      <c r="B94" s="31"/>
      <c r="C94" s="114" t="s">
        <v>89</v>
      </c>
      <c r="D94" s="10" t="s">
        <v>383</v>
      </c>
      <c r="E94" s="15" t="s">
        <v>91</v>
      </c>
      <c r="F94" s="15" t="s">
        <v>328</v>
      </c>
      <c r="G94" s="15">
        <f t="shared" si="12"/>
        <v>5</v>
      </c>
      <c r="H94" s="10"/>
      <c r="I94" s="10"/>
      <c r="J94" s="10"/>
      <c r="K94" s="10"/>
      <c r="L94" s="10" t="s">
        <v>384</v>
      </c>
      <c r="M94" s="10"/>
      <c r="N94" s="10" t="s">
        <v>199</v>
      </c>
      <c r="O94" s="10"/>
      <c r="P94" s="10"/>
      <c r="Q94" s="10"/>
      <c r="R94" s="11"/>
      <c r="S94" s="11"/>
      <c r="T94" s="11"/>
      <c r="U94" s="11"/>
      <c r="V94" s="12"/>
      <c r="W94" s="12"/>
      <c r="X94" s="12"/>
      <c r="Y94" s="12"/>
      <c r="Z94" s="12"/>
    </row>
    <row r="95" spans="1:26" ht="38.25" hidden="1" outlineLevel="2" x14ac:dyDescent="0.2">
      <c r="A95" s="8"/>
      <c r="B95" s="10"/>
      <c r="C95" s="114" t="s">
        <v>80</v>
      </c>
      <c r="D95" s="10" t="s">
        <v>385</v>
      </c>
      <c r="E95" s="15" t="s">
        <v>83</v>
      </c>
      <c r="F95" s="15" t="s">
        <v>328</v>
      </c>
      <c r="G95" s="15">
        <f t="shared" si="12"/>
        <v>6</v>
      </c>
      <c r="H95" s="10" t="s">
        <v>386</v>
      </c>
      <c r="I95" s="10" t="s">
        <v>387</v>
      </c>
      <c r="J95" s="10" t="s">
        <v>388</v>
      </c>
      <c r="K95" s="10" t="s">
        <v>389</v>
      </c>
      <c r="L95" s="10"/>
      <c r="M95" s="10"/>
      <c r="N95" s="10" t="s">
        <v>390</v>
      </c>
      <c r="O95" s="10"/>
      <c r="P95" s="12" t="s">
        <v>83</v>
      </c>
      <c r="Q95" s="10"/>
      <c r="R95" s="11" t="str">
        <f t="shared" ref="R95:R96" si="13">IF(E95="no", H95, CONCATENATE(G95,". &lt;br&gt;",H95))</f>
        <v>6. &lt;br&gt;&lt;br&gt; When was the last visit?</v>
      </c>
      <c r="S95" s="11" t="s">
        <v>391</v>
      </c>
      <c r="T95" s="11" t="s">
        <v>392</v>
      </c>
      <c r="U95" s="11" t="s">
        <v>393</v>
      </c>
      <c r="V95" s="12"/>
      <c r="W95" s="12"/>
      <c r="X95" s="12"/>
      <c r="Y95" s="12"/>
      <c r="Z95" s="12"/>
    </row>
    <row r="96" spans="1:26" ht="15.75" hidden="1" outlineLevel="2" x14ac:dyDescent="0.2">
      <c r="A96" s="8"/>
      <c r="B96" s="10"/>
      <c r="C96" s="114" t="s">
        <v>174</v>
      </c>
      <c r="D96" s="10" t="s">
        <v>383</v>
      </c>
      <c r="E96" s="15"/>
      <c r="F96" s="15" t="s">
        <v>328</v>
      </c>
      <c r="G96" s="15">
        <f t="shared" si="12"/>
        <v>7</v>
      </c>
      <c r="H96" s="10"/>
      <c r="I96" s="10"/>
      <c r="J96" s="10"/>
      <c r="K96" s="10"/>
      <c r="L96" s="10"/>
      <c r="M96" s="10"/>
      <c r="N96" s="10"/>
      <c r="O96" s="10"/>
      <c r="P96" s="10"/>
      <c r="Q96" s="10"/>
      <c r="R96" s="11" t="str">
        <f t="shared" si="13"/>
        <v>7. &lt;br&gt;</v>
      </c>
      <c r="S96" s="11"/>
      <c r="T96" s="11"/>
      <c r="U96" s="11"/>
      <c r="V96" s="12"/>
      <c r="W96" s="12"/>
      <c r="X96" s="12"/>
      <c r="Y96" s="12"/>
      <c r="Z96" s="12"/>
    </row>
    <row r="97" spans="1:26" ht="15.75" hidden="1" outlineLevel="2" x14ac:dyDescent="0.2">
      <c r="A97" s="8"/>
      <c r="B97" s="10"/>
      <c r="C97" s="19" t="s">
        <v>174</v>
      </c>
      <c r="D97" s="120" t="s">
        <v>327</v>
      </c>
      <c r="E97" s="121" t="s">
        <v>91</v>
      </c>
      <c r="F97" s="121" t="s">
        <v>328</v>
      </c>
      <c r="G97" s="121"/>
      <c r="H97" s="122"/>
      <c r="I97" s="120"/>
      <c r="J97" s="120"/>
      <c r="K97" s="120"/>
      <c r="L97" s="120"/>
      <c r="M97" s="120"/>
      <c r="N97" s="120"/>
      <c r="O97" s="120"/>
      <c r="P97" s="120"/>
      <c r="Q97" s="120"/>
      <c r="R97" s="120"/>
      <c r="S97" s="120"/>
      <c r="T97" s="120"/>
      <c r="U97" s="120"/>
      <c r="V97" s="16"/>
      <c r="W97" s="16"/>
      <c r="X97" s="16"/>
      <c r="Y97" s="16"/>
      <c r="Z97" s="16"/>
    </row>
    <row r="98" spans="1:26" ht="114.75" hidden="1" outlineLevel="1" x14ac:dyDescent="0.2">
      <c r="A98" s="9" t="s">
        <v>175</v>
      </c>
      <c r="B98" s="9" t="s">
        <v>394</v>
      </c>
      <c r="C98" s="123" t="s">
        <v>182</v>
      </c>
      <c r="D98" s="12" t="s">
        <v>395</v>
      </c>
      <c r="E98" s="15"/>
      <c r="F98" s="15" t="s">
        <v>328</v>
      </c>
      <c r="G98" s="15" t="s">
        <v>396</v>
      </c>
      <c r="H98" s="12" t="s">
        <v>397</v>
      </c>
      <c r="I98" s="12"/>
      <c r="J98" s="12"/>
      <c r="K98" s="12"/>
      <c r="L98" s="10" t="s">
        <v>331</v>
      </c>
      <c r="M98" s="12"/>
      <c r="N98" s="12"/>
      <c r="O98" s="12"/>
      <c r="P98" s="10" t="s">
        <v>83</v>
      </c>
      <c r="Q98" s="12">
        <v>1</v>
      </c>
      <c r="R98" s="11" t="str">
        <f>IF(E98="no", H98, CONCATENATE(G98,". &lt;br&gt;",H98))</f>
        <v>End of section 1 of X. &lt;br&gt;&lt;font color="green"&gt;CHECKPOINT 1&lt;br&gt;&lt;br&gt;&lt;b&gt;INTERVIEWER&lt;/b&gt;&lt;br&gt;Are you able to continue the interview, that is, this interview &lt;b&gt;has not&lt;/b&gt; been interrupted?&lt;/font&gt;</v>
      </c>
      <c r="S98" s="11" t="s">
        <v>398</v>
      </c>
      <c r="T98" s="11"/>
      <c r="U98" s="11"/>
      <c r="V98" s="12"/>
      <c r="W98" s="12"/>
      <c r="X98" s="12"/>
      <c r="Y98" s="12"/>
      <c r="Z98" s="12"/>
    </row>
    <row r="99" spans="1:26" ht="15.75" hidden="1" outlineLevel="1" x14ac:dyDescent="0.2">
      <c r="A99" s="8"/>
      <c r="B99" s="35"/>
      <c r="C99" s="123"/>
      <c r="D99" s="12"/>
      <c r="E99" s="15"/>
      <c r="F99" s="15"/>
      <c r="G99" s="15"/>
      <c r="H99" s="12"/>
      <c r="I99" s="12"/>
      <c r="J99" s="12"/>
      <c r="K99" s="12"/>
      <c r="L99" s="10"/>
      <c r="M99" s="12"/>
      <c r="N99" s="12"/>
      <c r="O99" s="12"/>
      <c r="P99" s="10"/>
      <c r="Q99" s="12"/>
      <c r="R99" s="11"/>
      <c r="S99" s="11"/>
      <c r="T99" s="11"/>
      <c r="U99" s="11"/>
      <c r="V99" s="12"/>
      <c r="W99" s="12"/>
      <c r="X99" s="12"/>
      <c r="Y99" s="12"/>
      <c r="Z99" s="12"/>
    </row>
    <row r="100" spans="1:26" ht="15.75" hidden="1" outlineLevel="1" x14ac:dyDescent="0.2">
      <c r="A100" s="8"/>
      <c r="B100" s="35"/>
      <c r="C100" s="123"/>
      <c r="D100" s="12"/>
      <c r="E100" s="15"/>
      <c r="F100" s="15"/>
      <c r="G100" s="15"/>
      <c r="H100" s="12"/>
      <c r="I100" s="12"/>
      <c r="J100" s="12"/>
      <c r="K100" s="12"/>
      <c r="L100" s="10"/>
      <c r="M100" s="12"/>
      <c r="N100" s="12"/>
      <c r="O100" s="12"/>
      <c r="P100" s="10"/>
      <c r="Q100" s="12"/>
      <c r="R100" s="11"/>
      <c r="S100" s="11"/>
      <c r="T100" s="11"/>
      <c r="U100" s="11"/>
      <c r="V100" s="12"/>
      <c r="W100" s="12"/>
      <c r="X100" s="12"/>
      <c r="Y100" s="12"/>
      <c r="Z100" s="12"/>
    </row>
    <row r="101" spans="1:26" ht="15.75" hidden="1" outlineLevel="1" x14ac:dyDescent="0.2">
      <c r="A101" s="8"/>
      <c r="B101" s="35"/>
      <c r="C101" s="123"/>
      <c r="D101" s="12"/>
      <c r="E101" s="15"/>
      <c r="F101" s="15"/>
      <c r="G101" s="15"/>
      <c r="H101" s="12"/>
      <c r="I101" s="12"/>
      <c r="J101" s="12"/>
      <c r="K101" s="12"/>
      <c r="L101" s="10"/>
      <c r="M101" s="12"/>
      <c r="N101" s="12"/>
      <c r="O101" s="12"/>
      <c r="P101" s="10"/>
      <c r="Q101" s="12"/>
      <c r="R101" s="11"/>
      <c r="S101" s="11"/>
      <c r="T101" s="11"/>
      <c r="U101" s="11"/>
      <c r="V101" s="12"/>
      <c r="W101" s="12"/>
      <c r="X101" s="12"/>
      <c r="Y101" s="12"/>
      <c r="Z101" s="12"/>
    </row>
    <row r="102" spans="1:26" ht="15.75" hidden="1" outlineLevel="1" x14ac:dyDescent="0.2">
      <c r="A102" s="8"/>
      <c r="B102" s="35"/>
      <c r="C102" s="123"/>
      <c r="D102" s="12"/>
      <c r="E102" s="15"/>
      <c r="F102" s="15"/>
      <c r="G102" s="15"/>
      <c r="H102" s="12"/>
      <c r="I102" s="12"/>
      <c r="J102" s="12"/>
      <c r="K102" s="12"/>
      <c r="L102" s="10"/>
      <c r="M102" s="12"/>
      <c r="N102" s="12"/>
      <c r="O102" s="12"/>
      <c r="P102" s="10"/>
      <c r="Q102" s="12"/>
      <c r="R102" s="11"/>
      <c r="S102" s="11"/>
      <c r="T102" s="11"/>
      <c r="U102" s="11"/>
      <c r="V102" s="12"/>
      <c r="W102" s="12"/>
      <c r="X102" s="12"/>
      <c r="Y102" s="12"/>
      <c r="Z102" s="12"/>
    </row>
    <row r="103" spans="1:26" ht="15.75" hidden="1" outlineLevel="1" x14ac:dyDescent="0.2">
      <c r="A103" s="8"/>
      <c r="B103" s="35"/>
      <c r="C103" s="123"/>
      <c r="D103" s="12"/>
      <c r="E103" s="15"/>
      <c r="F103" s="15"/>
      <c r="G103" s="15"/>
      <c r="H103" s="12"/>
      <c r="I103" s="12"/>
      <c r="J103" s="12"/>
      <c r="K103" s="12"/>
      <c r="L103" s="10"/>
      <c r="M103" s="12"/>
      <c r="N103" s="12"/>
      <c r="O103" s="12"/>
      <c r="P103" s="10"/>
      <c r="Q103" s="12"/>
      <c r="R103" s="11"/>
      <c r="S103" s="11"/>
      <c r="T103" s="11"/>
      <c r="U103" s="11"/>
      <c r="V103" s="12"/>
      <c r="W103" s="12"/>
      <c r="X103" s="12"/>
      <c r="Y103" s="12"/>
      <c r="Z103" s="12"/>
    </row>
    <row r="104" spans="1:26" ht="63.75" outlineLevel="1" x14ac:dyDescent="0.2">
      <c r="A104" s="119" t="s">
        <v>399</v>
      </c>
      <c r="B104" s="116" t="s">
        <v>326</v>
      </c>
      <c r="C104" s="19" t="s">
        <v>89</v>
      </c>
      <c r="D104" s="120" t="s">
        <v>400</v>
      </c>
      <c r="E104" s="121" t="s">
        <v>91</v>
      </c>
      <c r="F104" s="121" t="s">
        <v>237</v>
      </c>
      <c r="G104" s="121">
        <f>IF(E104="no", G82, IF(F104=F82, G82+1, 1))</f>
        <v>0</v>
      </c>
      <c r="H104" s="122" t="s">
        <v>401</v>
      </c>
      <c r="I104" s="120"/>
      <c r="J104" s="120"/>
      <c r="K104" s="120"/>
      <c r="L104" s="120" t="s">
        <v>402</v>
      </c>
      <c r="M104" s="120"/>
      <c r="N104" s="120"/>
      <c r="O104" s="120"/>
      <c r="P104" s="120"/>
      <c r="Q104" s="120"/>
      <c r="R104" s="120" t="str">
        <f t="shared" ref="R104:R108" si="14">IF(E104="no", H104, CONCATENATE(G104,". &lt;br&gt;",H104))</f>
        <v>Section 2: Staff Characteristics</v>
      </c>
      <c r="S104" s="120" t="s">
        <v>403</v>
      </c>
      <c r="T104" s="120"/>
      <c r="U104" s="120"/>
      <c r="V104" s="16"/>
      <c r="W104" s="16"/>
      <c r="X104" s="16"/>
      <c r="Y104" s="16"/>
      <c r="Z104" s="16"/>
    </row>
    <row r="105" spans="1:26" ht="78.75" hidden="1" outlineLevel="2" x14ac:dyDescent="0.2">
      <c r="A105" s="48" t="s">
        <v>404</v>
      </c>
      <c r="B105" s="9" t="s">
        <v>405</v>
      </c>
      <c r="C105" s="114" t="s">
        <v>406</v>
      </c>
      <c r="D105" s="10" t="s">
        <v>407</v>
      </c>
      <c r="E105" s="15" t="s">
        <v>83</v>
      </c>
      <c r="F105" s="15" t="s">
        <v>237</v>
      </c>
      <c r="G105" s="15">
        <f>IF(E105="no", G91, IF(F105=F91, G91+1, 1))</f>
        <v>1</v>
      </c>
      <c r="H105" s="10" t="s">
        <v>408</v>
      </c>
      <c r="I105" s="10" t="s">
        <v>409</v>
      </c>
      <c r="J105" s="10"/>
      <c r="K105" s="10" t="s">
        <v>410</v>
      </c>
      <c r="L105" s="10" t="s">
        <v>166</v>
      </c>
      <c r="M105" s="10"/>
      <c r="N105" s="10" t="s">
        <v>411</v>
      </c>
      <c r="O105" s="10"/>
      <c r="P105" s="10" t="s">
        <v>83</v>
      </c>
      <c r="Q105" s="10"/>
      <c r="R105" s="11" t="str">
        <f t="shared" si="14"/>
        <v>1. &lt;br&gt;&lt;br&gt; Do you or anyone in this outlet/ business have any of the following health-related qualifications? 
&lt;br&gt;Select all that apply</v>
      </c>
      <c r="S105" s="11" t="s">
        <v>412</v>
      </c>
      <c r="T105" s="11" t="s">
        <v>413</v>
      </c>
      <c r="U105" s="11"/>
      <c r="V105" s="12"/>
      <c r="W105" s="12"/>
      <c r="X105" s="12"/>
      <c r="Y105" s="12"/>
      <c r="Z105" s="12"/>
    </row>
    <row r="106" spans="1:26" ht="25.5" hidden="1" outlineLevel="2" x14ac:dyDescent="0.2">
      <c r="A106" s="8"/>
      <c r="B106" s="49"/>
      <c r="C106" s="114" t="s">
        <v>144</v>
      </c>
      <c r="D106" s="10" t="s">
        <v>414</v>
      </c>
      <c r="E106" s="15" t="s">
        <v>91</v>
      </c>
      <c r="F106" s="15" t="s">
        <v>237</v>
      </c>
      <c r="G106" s="15">
        <f t="shared" ref="G106:G108" si="15">IF(E106="no", G105, IF(F106=F105, G105+1, 1))</f>
        <v>1</v>
      </c>
      <c r="H106" s="10" t="s">
        <v>415</v>
      </c>
      <c r="I106" s="10"/>
      <c r="J106" s="10"/>
      <c r="K106" s="10"/>
      <c r="L106" s="10" t="s">
        <v>416</v>
      </c>
      <c r="M106" s="10"/>
      <c r="N106" s="10"/>
      <c r="O106" s="10"/>
      <c r="P106" s="10" t="s">
        <v>83</v>
      </c>
      <c r="Q106" s="10"/>
      <c r="R106" s="11" t="str">
        <f t="shared" si="14"/>
        <v>Specify qualification(s)</v>
      </c>
      <c r="S106" s="11" t="s">
        <v>417</v>
      </c>
      <c r="T106" s="11"/>
      <c r="U106" s="11"/>
      <c r="V106" s="12"/>
      <c r="W106" s="12"/>
      <c r="X106" s="12"/>
      <c r="Y106" s="12"/>
      <c r="Z106" s="12"/>
    </row>
    <row r="107" spans="1:26" ht="110.25" hidden="1" outlineLevel="2" x14ac:dyDescent="0.2">
      <c r="A107" s="48" t="s">
        <v>418</v>
      </c>
      <c r="B107" s="9" t="s">
        <v>419</v>
      </c>
      <c r="C107" s="114" t="s">
        <v>420</v>
      </c>
      <c r="D107" s="10" t="s">
        <v>421</v>
      </c>
      <c r="E107" s="15" t="s">
        <v>83</v>
      </c>
      <c r="F107" s="15" t="s">
        <v>237</v>
      </c>
      <c r="G107" s="15">
        <f t="shared" si="15"/>
        <v>2</v>
      </c>
      <c r="H107" s="10" t="s">
        <v>422</v>
      </c>
      <c r="I107" s="10" t="s">
        <v>423</v>
      </c>
      <c r="J107" s="10"/>
      <c r="K107" s="10" t="s">
        <v>424</v>
      </c>
      <c r="L107" s="10" t="s">
        <v>166</v>
      </c>
      <c r="M107" s="10"/>
      <c r="N107" s="10"/>
      <c r="O107" s="10"/>
      <c r="P107" s="10" t="s">
        <v>83</v>
      </c>
      <c r="Q107" s="10"/>
      <c r="R107" s="11" t="str">
        <f t="shared" si="14"/>
        <v>2. &lt;br&gt;&lt;br&gt; Has any staff working at this outlet/ business received malaria-related training in the last 2 years?
&lt;br&gt;
&lt;br&gt;&lt;b&gt; Interviewer:&lt;/b&gt; 
&lt;br&gt; If no, select none. 
&lt;br&gt;If yes, please read all responses below and select all applicable: &lt;br&gt;</v>
      </c>
      <c r="S107" s="11" t="s">
        <v>425</v>
      </c>
      <c r="T107" s="11" t="s">
        <v>426</v>
      </c>
      <c r="U107" s="11"/>
      <c r="V107" s="12"/>
      <c r="W107" s="12"/>
      <c r="X107" s="12"/>
      <c r="Y107" s="12"/>
      <c r="Z107" s="12"/>
    </row>
    <row r="108" spans="1:26" ht="25.5" hidden="1" outlineLevel="2" x14ac:dyDescent="0.2">
      <c r="A108" s="8"/>
      <c r="B108" s="10"/>
      <c r="C108" s="114" t="s">
        <v>144</v>
      </c>
      <c r="D108" s="10" t="s">
        <v>427</v>
      </c>
      <c r="E108" s="15" t="s">
        <v>91</v>
      </c>
      <c r="F108" s="15" t="s">
        <v>237</v>
      </c>
      <c r="G108" s="15">
        <f t="shared" si="15"/>
        <v>2</v>
      </c>
      <c r="H108" s="10" t="s">
        <v>428</v>
      </c>
      <c r="I108" s="10"/>
      <c r="J108" s="10"/>
      <c r="K108" s="10"/>
      <c r="L108" s="10" t="s">
        <v>429</v>
      </c>
      <c r="M108" s="10"/>
      <c r="N108" s="10"/>
      <c r="O108" s="10"/>
      <c r="P108" s="10" t="s">
        <v>83</v>
      </c>
      <c r="Q108" s="10"/>
      <c r="R108" s="11" t="str">
        <f t="shared" si="14"/>
        <v>Specify other purpose of training:</v>
      </c>
      <c r="S108" s="11" t="s">
        <v>430</v>
      </c>
      <c r="T108" s="11"/>
      <c r="U108" s="11"/>
      <c r="V108" s="12"/>
      <c r="W108" s="12"/>
      <c r="X108" s="12"/>
      <c r="Y108" s="12"/>
      <c r="Z108" s="12"/>
    </row>
    <row r="109" spans="1:26" ht="15.75" hidden="1" outlineLevel="2" x14ac:dyDescent="0.2">
      <c r="A109" s="8"/>
      <c r="B109" s="10"/>
      <c r="C109" s="19" t="s">
        <v>174</v>
      </c>
      <c r="D109" s="120" t="s">
        <v>400</v>
      </c>
      <c r="E109" s="121"/>
      <c r="F109" s="121"/>
      <c r="G109" s="121"/>
      <c r="H109" s="122"/>
      <c r="I109" s="120"/>
      <c r="J109" s="120"/>
      <c r="K109" s="120"/>
      <c r="L109" s="120"/>
      <c r="M109" s="120"/>
      <c r="N109" s="120"/>
      <c r="O109" s="120"/>
      <c r="P109" s="120"/>
      <c r="Q109" s="120"/>
      <c r="R109" s="120"/>
      <c r="S109" s="120"/>
      <c r="T109" s="120"/>
      <c r="U109" s="120"/>
      <c r="V109" s="16"/>
      <c r="W109" s="16"/>
      <c r="X109" s="16"/>
      <c r="Y109" s="16"/>
      <c r="Z109" s="16"/>
    </row>
    <row r="110" spans="1:26" ht="114.75" hidden="1" outlineLevel="1" collapsed="1" x14ac:dyDescent="0.2">
      <c r="A110" s="9" t="s">
        <v>175</v>
      </c>
      <c r="B110" s="9" t="s">
        <v>431</v>
      </c>
      <c r="C110" s="123" t="s">
        <v>182</v>
      </c>
      <c r="D110" s="12" t="s">
        <v>432</v>
      </c>
      <c r="E110" s="15"/>
      <c r="F110" s="15" t="s">
        <v>237</v>
      </c>
      <c r="G110" s="15" t="s">
        <v>433</v>
      </c>
      <c r="H110" s="12" t="s">
        <v>434</v>
      </c>
      <c r="I110" s="12"/>
      <c r="J110" s="12"/>
      <c r="K110" s="12"/>
      <c r="L110" s="120" t="s">
        <v>402</v>
      </c>
      <c r="M110" s="12"/>
      <c r="N110" s="12"/>
      <c r="O110" s="12"/>
      <c r="P110" s="10" t="s">
        <v>83</v>
      </c>
      <c r="Q110" s="12">
        <v>1</v>
      </c>
      <c r="R110" s="11" t="str">
        <f>IF(E110="no", H110, CONCATENATE(G110,". &lt;br&gt;",H110))</f>
        <v>End of section 2 of X. &lt;br&gt;&lt;font color="green"&gt;CHECKPOINT 2&lt;br&gt;&lt;br&gt;&lt;b&gt;INTERVIEWER&lt;/b&gt;&lt;br&gt;Are you able to continue the interview, that is, this interview &lt;b&gt;has not&lt;/b&gt; been interrupted?&lt;/font&gt;</v>
      </c>
      <c r="S110" s="11" t="s">
        <v>398</v>
      </c>
      <c r="T110" s="11"/>
      <c r="U110" s="11"/>
      <c r="V110" s="12"/>
      <c r="W110" s="12"/>
      <c r="X110" s="12"/>
      <c r="Y110" s="12"/>
      <c r="Z110" s="12"/>
    </row>
    <row r="111" spans="1:26" ht="15.75" hidden="1" outlineLevel="1" x14ac:dyDescent="0.2">
      <c r="A111" s="50"/>
      <c r="B111" s="35"/>
      <c r="C111" s="123"/>
      <c r="D111" s="12"/>
      <c r="E111" s="15"/>
      <c r="F111" s="15"/>
      <c r="G111" s="15"/>
      <c r="H111" s="12"/>
      <c r="I111" s="12"/>
      <c r="J111" s="12"/>
      <c r="K111" s="12"/>
      <c r="L111" s="10"/>
      <c r="M111" s="12"/>
      <c r="N111" s="12"/>
      <c r="O111" s="12"/>
      <c r="P111" s="10"/>
      <c r="Q111" s="12"/>
      <c r="R111" s="11"/>
      <c r="S111" s="11"/>
      <c r="T111" s="11"/>
      <c r="U111" s="11"/>
      <c r="V111" s="12"/>
      <c r="W111" s="12"/>
      <c r="X111" s="12"/>
      <c r="Y111" s="12"/>
      <c r="Z111" s="12"/>
    </row>
    <row r="112" spans="1:26" ht="15.75" hidden="1" outlineLevel="1" x14ac:dyDescent="0.2">
      <c r="A112" s="50"/>
      <c r="B112" s="35"/>
      <c r="C112" s="123"/>
      <c r="D112" s="12"/>
      <c r="E112" s="15"/>
      <c r="F112" s="15"/>
      <c r="G112" s="15"/>
      <c r="H112" s="12"/>
      <c r="I112" s="12"/>
      <c r="J112" s="12"/>
      <c r="K112" s="12"/>
      <c r="L112" s="10"/>
      <c r="M112" s="12"/>
      <c r="N112" s="12"/>
      <c r="O112" s="12"/>
      <c r="P112" s="10"/>
      <c r="Q112" s="12"/>
      <c r="R112" s="11"/>
      <c r="S112" s="11"/>
      <c r="T112" s="11"/>
      <c r="U112" s="11"/>
      <c r="V112" s="12"/>
      <c r="W112" s="12"/>
      <c r="X112" s="12"/>
      <c r="Y112" s="12"/>
      <c r="Z112" s="12"/>
    </row>
    <row r="113" spans="1:26" ht="15.75" hidden="1" outlineLevel="1" x14ac:dyDescent="0.2">
      <c r="A113" s="50"/>
      <c r="B113" s="35"/>
      <c r="C113" s="123"/>
      <c r="D113" s="12"/>
      <c r="E113" s="15"/>
      <c r="F113" s="15"/>
      <c r="G113" s="15"/>
      <c r="H113" s="12"/>
      <c r="I113" s="12"/>
      <c r="J113" s="12"/>
      <c r="K113" s="12"/>
      <c r="L113" s="10"/>
      <c r="M113" s="12"/>
      <c r="N113" s="12"/>
      <c r="O113" s="12"/>
      <c r="P113" s="10"/>
      <c r="Q113" s="12"/>
      <c r="R113" s="11"/>
      <c r="S113" s="11"/>
      <c r="T113" s="11"/>
      <c r="U113" s="11"/>
      <c r="V113" s="12"/>
      <c r="W113" s="12"/>
      <c r="X113" s="12"/>
      <c r="Y113" s="12"/>
      <c r="Z113" s="12"/>
    </row>
    <row r="114" spans="1:26" ht="15.75" hidden="1" outlineLevel="1" x14ac:dyDescent="0.2">
      <c r="A114" s="50"/>
      <c r="B114" s="35"/>
      <c r="C114" s="123"/>
      <c r="D114" s="12"/>
      <c r="E114" s="15"/>
      <c r="F114" s="15"/>
      <c r="G114" s="15"/>
      <c r="H114" s="12"/>
      <c r="I114" s="12"/>
      <c r="J114" s="12"/>
      <c r="K114" s="12"/>
      <c r="L114" s="10"/>
      <c r="M114" s="12"/>
      <c r="N114" s="12"/>
      <c r="O114" s="12"/>
      <c r="P114" s="10"/>
      <c r="Q114" s="12"/>
      <c r="R114" s="11"/>
      <c r="S114" s="11"/>
      <c r="T114" s="11"/>
      <c r="U114" s="11"/>
      <c r="V114" s="12"/>
      <c r="W114" s="12"/>
      <c r="X114" s="12"/>
      <c r="Y114" s="12"/>
      <c r="Z114" s="12"/>
    </row>
    <row r="115" spans="1:26" ht="15.75" hidden="1" outlineLevel="1" x14ac:dyDescent="0.2">
      <c r="A115" s="8"/>
      <c r="B115" s="10"/>
      <c r="C115" s="114"/>
      <c r="D115" s="10"/>
      <c r="E115" s="15"/>
      <c r="F115" s="15"/>
      <c r="G115" s="15"/>
      <c r="H115" s="10"/>
      <c r="I115" s="10"/>
      <c r="J115" s="10"/>
      <c r="K115" s="10"/>
      <c r="L115" s="10"/>
      <c r="M115" s="10"/>
      <c r="N115" s="10"/>
      <c r="O115" s="10"/>
      <c r="P115" s="10"/>
      <c r="Q115" s="10"/>
      <c r="R115" s="11"/>
      <c r="S115" s="11"/>
      <c r="T115" s="11"/>
      <c r="U115" s="11"/>
      <c r="V115" s="12"/>
      <c r="W115" s="12"/>
      <c r="X115" s="12"/>
      <c r="Y115" s="12"/>
      <c r="Z115" s="12"/>
    </row>
    <row r="116" spans="1:26" ht="63.75" outlineLevel="1" x14ac:dyDescent="0.2">
      <c r="A116" s="119" t="s">
        <v>15</v>
      </c>
      <c r="B116" s="116" t="s">
        <v>326</v>
      </c>
      <c r="C116" s="19" t="s">
        <v>89</v>
      </c>
      <c r="D116" s="120" t="s">
        <v>435</v>
      </c>
      <c r="E116" s="121" t="s">
        <v>91</v>
      </c>
      <c r="F116" s="121">
        <v>3</v>
      </c>
      <c r="G116" s="121"/>
      <c r="H116" s="122" t="s">
        <v>436</v>
      </c>
      <c r="I116" s="120"/>
      <c r="J116" s="120"/>
      <c r="K116" s="120"/>
      <c r="L116" s="120" t="s">
        <v>437</v>
      </c>
      <c r="M116" s="120"/>
      <c r="N116" s="120"/>
      <c r="O116" s="120"/>
      <c r="P116" s="120"/>
      <c r="Q116" s="120"/>
      <c r="R116" s="120" t="str">
        <f t="shared" ref="R116:R119" si="16">IF(E116="no", H116, CONCATENATE(G116,". &lt;br&gt;",H116))</f>
        <v>Section 3: Quality control and compliance</v>
      </c>
      <c r="S116" s="120" t="s">
        <v>403</v>
      </c>
      <c r="T116" s="120"/>
      <c r="U116" s="120"/>
      <c r="V116" s="16"/>
      <c r="W116" s="16"/>
      <c r="X116" s="16"/>
      <c r="Y116" s="16"/>
      <c r="Z116" s="16"/>
    </row>
    <row r="117" spans="1:26" ht="110.25" hidden="1" outlineLevel="2" x14ac:dyDescent="0.2">
      <c r="A117" s="48" t="s">
        <v>438</v>
      </c>
      <c r="B117" s="51" t="s">
        <v>439</v>
      </c>
      <c r="C117" s="129" t="s">
        <v>76</v>
      </c>
      <c r="D117" s="9" t="s">
        <v>440</v>
      </c>
      <c r="E117" s="52" t="s">
        <v>91</v>
      </c>
      <c r="F117" s="52">
        <v>3</v>
      </c>
      <c r="G117" s="52"/>
      <c r="H117" s="9" t="s">
        <v>441</v>
      </c>
      <c r="I117" s="9"/>
      <c r="J117" s="9"/>
      <c r="K117" s="9"/>
      <c r="L117" s="9"/>
      <c r="M117" s="9"/>
      <c r="N117" s="9"/>
      <c r="O117" s="9"/>
      <c r="P117" s="9"/>
      <c r="Q117" s="9"/>
      <c r="R117" s="12" t="str">
        <f t="shared" si="16"/>
        <v>[DELETE THIS ROW FROM THE FORM] This indicator is captured in the audits of each product rather than at outlet level. Please find 10.1 in the Antimalarial Audit Section and RDT Audit Section. This is here as a placeholder to maintain easy mapping to the Indicator Table</v>
      </c>
      <c r="S117" s="12" t="s">
        <v>442</v>
      </c>
      <c r="T117" s="9"/>
      <c r="U117" s="9"/>
      <c r="V117" s="9"/>
      <c r="W117" s="9"/>
      <c r="X117" s="9"/>
      <c r="Y117" s="9"/>
      <c r="Z117" s="9"/>
    </row>
    <row r="118" spans="1:26" ht="102" hidden="1" outlineLevel="2" x14ac:dyDescent="0.2">
      <c r="A118" s="53" t="s">
        <v>443</v>
      </c>
      <c r="B118" s="9" t="s">
        <v>444</v>
      </c>
      <c r="C118" s="54" t="s">
        <v>76</v>
      </c>
      <c r="D118" s="130" t="s">
        <v>445</v>
      </c>
      <c r="E118" s="55" t="s">
        <v>91</v>
      </c>
      <c r="F118" s="55">
        <v>3</v>
      </c>
      <c r="G118" s="55"/>
      <c r="H118" s="12" t="s">
        <v>446</v>
      </c>
      <c r="I118" s="130"/>
      <c r="J118" s="130"/>
      <c r="K118" s="130"/>
      <c r="L118" s="130"/>
      <c r="M118" s="130"/>
      <c r="N118" s="130"/>
      <c r="O118" s="130"/>
      <c r="P118" s="130"/>
      <c r="Q118" s="130"/>
      <c r="R118" s="12" t="str">
        <f t="shared" si="16"/>
        <v xml:space="preserve">&lt;br&gt;&lt;br&gt;&lt;h4&gt;Provider module section 3. QC and compliance&lt;/h4&gt;&lt;br&gt;&lt;br&gt;
&lt;font color="blue"&gt;
Next, ask to &lt;b&gt;OBSERVE&lt;/b&gt; how their medicine are stored and complete the following questions. 
&lt;br&gt;&lt;b&gt;Remember, observe! Don't ask!&lt;/b&gt;&lt;br&gt;
</v>
      </c>
      <c r="S118" s="12" t="s">
        <v>442</v>
      </c>
      <c r="T118" s="12"/>
      <c r="U118" s="12"/>
      <c r="V118" s="12"/>
      <c r="W118" s="12"/>
      <c r="X118" s="12"/>
      <c r="Y118" s="12"/>
      <c r="Z118" s="12"/>
    </row>
    <row r="119" spans="1:26" ht="15.75" outlineLevel="2" x14ac:dyDescent="0.2">
      <c r="A119" s="53"/>
      <c r="B119" s="36"/>
      <c r="C119" s="123" t="s">
        <v>89</v>
      </c>
      <c r="D119" s="12" t="s">
        <v>447</v>
      </c>
      <c r="E119" s="55" t="s">
        <v>91</v>
      </c>
      <c r="F119" s="55">
        <v>3</v>
      </c>
      <c r="G119" s="55">
        <v>1</v>
      </c>
      <c r="H119" s="12" t="s">
        <v>448</v>
      </c>
      <c r="I119" s="12"/>
      <c r="J119" s="12"/>
      <c r="K119" s="12"/>
      <c r="L119" s="12" t="s">
        <v>449</v>
      </c>
      <c r="M119" s="12"/>
      <c r="N119" s="12" t="s">
        <v>199</v>
      </c>
      <c r="O119" s="12"/>
      <c r="P119" s="12"/>
      <c r="Q119" s="12"/>
      <c r="R119" s="12" t="str">
        <f t="shared" si="16"/>
        <v>Antimalarial storage:</v>
      </c>
      <c r="S119" s="12" t="s">
        <v>450</v>
      </c>
      <c r="T119" s="12"/>
      <c r="U119" s="12"/>
      <c r="V119" s="36"/>
      <c r="W119" s="36"/>
      <c r="X119" s="36"/>
      <c r="Y119" s="36"/>
      <c r="Z119" s="36"/>
    </row>
    <row r="120" spans="1:26" ht="25.5" hidden="1" outlineLevel="2" x14ac:dyDescent="0.2">
      <c r="A120" s="53"/>
      <c r="B120" s="12"/>
      <c r="C120" s="123" t="s">
        <v>451</v>
      </c>
      <c r="D120" s="130" t="s">
        <v>452</v>
      </c>
      <c r="E120" s="55" t="s">
        <v>83</v>
      </c>
      <c r="F120" s="55">
        <v>3</v>
      </c>
      <c r="G120" s="55" t="s">
        <v>453</v>
      </c>
      <c r="H120" s="12" t="s">
        <v>454</v>
      </c>
      <c r="I120" s="130"/>
      <c r="J120" s="130"/>
      <c r="K120" s="130"/>
      <c r="L120" s="130"/>
      <c r="M120" s="130"/>
      <c r="N120" s="130"/>
      <c r="O120" s="130"/>
      <c r="P120" s="130" t="s">
        <v>83</v>
      </c>
      <c r="Q120" s="130"/>
      <c r="R120" s="12" t="str">
        <f t="shared" ref="R120:R122" si="17">IF(E120="no", H120, CONCATENATE(G120,". ",H120))</f>
        <v xml:space="preserve">a. Are antimalarials stored in a dry area? </v>
      </c>
      <c r="S120" s="12" t="s">
        <v>455</v>
      </c>
      <c r="T120" s="12"/>
      <c r="U120" s="12"/>
      <c r="V120" s="12"/>
      <c r="W120" s="12"/>
      <c r="X120" s="12"/>
      <c r="Y120" s="12"/>
      <c r="Z120" s="12"/>
    </row>
    <row r="121" spans="1:26" ht="25.5" hidden="1" outlineLevel="2" x14ac:dyDescent="0.2">
      <c r="A121" s="53"/>
      <c r="B121" s="12"/>
      <c r="C121" s="123" t="s">
        <v>451</v>
      </c>
      <c r="D121" s="130" t="s">
        <v>456</v>
      </c>
      <c r="E121" s="55" t="s">
        <v>83</v>
      </c>
      <c r="F121" s="55">
        <v>3</v>
      </c>
      <c r="G121" s="55" t="s">
        <v>457</v>
      </c>
      <c r="H121" s="12" t="s">
        <v>458</v>
      </c>
      <c r="I121" s="130"/>
      <c r="J121" s="130"/>
      <c r="K121" s="130"/>
      <c r="L121" s="130"/>
      <c r="M121" s="130"/>
      <c r="N121" s="130"/>
      <c r="O121" s="130"/>
      <c r="P121" s="130" t="s">
        <v>83</v>
      </c>
      <c r="Q121" s="130"/>
      <c r="R121" s="12" t="str">
        <f t="shared" si="17"/>
        <v>b. Are antimalarials protected from direct sunlight?</v>
      </c>
      <c r="S121" s="12" t="s">
        <v>459</v>
      </c>
      <c r="T121" s="12"/>
      <c r="U121" s="12"/>
      <c r="V121" s="12"/>
      <c r="W121" s="12"/>
      <c r="X121" s="12"/>
      <c r="Y121" s="12"/>
      <c r="Z121" s="12"/>
    </row>
    <row r="122" spans="1:26" ht="15.75" hidden="1" outlineLevel="2" x14ac:dyDescent="0.2">
      <c r="A122" s="53"/>
      <c r="B122" s="12"/>
      <c r="C122" s="123" t="s">
        <v>451</v>
      </c>
      <c r="D122" s="130" t="s">
        <v>460</v>
      </c>
      <c r="E122" s="55" t="s">
        <v>83</v>
      </c>
      <c r="F122" s="55">
        <v>3</v>
      </c>
      <c r="G122" s="55" t="s">
        <v>461</v>
      </c>
      <c r="H122" s="12" t="s">
        <v>462</v>
      </c>
      <c r="I122" s="130"/>
      <c r="J122" s="130"/>
      <c r="K122" s="130"/>
      <c r="L122" s="130"/>
      <c r="M122" s="130"/>
      <c r="N122" s="130"/>
      <c r="O122" s="130"/>
      <c r="P122" s="130" t="s">
        <v>83</v>
      </c>
      <c r="Q122" s="130"/>
      <c r="R122" s="12" t="str">
        <f t="shared" si="17"/>
        <v>c. Are antimalarials kept on the floor?</v>
      </c>
      <c r="S122" s="12" t="s">
        <v>463</v>
      </c>
      <c r="T122" s="12"/>
      <c r="U122" s="12"/>
      <c r="V122" s="12"/>
      <c r="W122" s="12"/>
      <c r="X122" s="12"/>
      <c r="Y122" s="12"/>
      <c r="Z122" s="12"/>
    </row>
    <row r="123" spans="1:26" ht="15.75" hidden="1" outlineLevel="2" x14ac:dyDescent="0.2">
      <c r="A123" s="53"/>
      <c r="B123" s="12"/>
      <c r="C123" s="54" t="s">
        <v>174</v>
      </c>
      <c r="D123" s="130" t="s">
        <v>447</v>
      </c>
      <c r="E123" s="55" t="s">
        <v>91</v>
      </c>
      <c r="F123" s="55">
        <v>3</v>
      </c>
      <c r="G123" s="55"/>
      <c r="H123" s="12"/>
      <c r="I123" s="130"/>
      <c r="J123" s="130"/>
      <c r="K123" s="130"/>
      <c r="L123" s="130"/>
      <c r="M123" s="130"/>
      <c r="N123" s="130"/>
      <c r="O123" s="130"/>
      <c r="P123" s="130"/>
      <c r="Q123" s="130"/>
      <c r="R123" s="12"/>
      <c r="S123" s="12"/>
      <c r="T123" s="12"/>
      <c r="U123" s="12"/>
      <c r="V123" s="12"/>
      <c r="W123" s="12"/>
      <c r="X123" s="12"/>
      <c r="Y123" s="12"/>
      <c r="Z123" s="12"/>
    </row>
    <row r="124" spans="1:26" ht="25.5" outlineLevel="2" x14ac:dyDescent="0.2">
      <c r="A124" s="53"/>
      <c r="B124" s="36"/>
      <c r="C124" s="123" t="s">
        <v>89</v>
      </c>
      <c r="D124" s="12" t="s">
        <v>464</v>
      </c>
      <c r="E124" s="55" t="s">
        <v>91</v>
      </c>
      <c r="F124" s="55">
        <v>3</v>
      </c>
      <c r="G124" s="55">
        <v>2</v>
      </c>
      <c r="H124" s="12" t="s">
        <v>465</v>
      </c>
      <c r="I124" s="12"/>
      <c r="J124" s="12"/>
      <c r="K124" s="12"/>
      <c r="L124" s="12" t="s">
        <v>466</v>
      </c>
      <c r="M124" s="12"/>
      <c r="N124" s="12" t="s">
        <v>199</v>
      </c>
      <c r="O124" s="12"/>
      <c r="P124" s="12"/>
      <c r="Q124" s="12"/>
      <c r="R124" s="12" t="str">
        <f>IF(E124="no", H124, CONCATENATE(G124,". &lt;br&gt;",H124))</f>
        <v>RDTstorage:</v>
      </c>
      <c r="S124" s="12" t="s">
        <v>450</v>
      </c>
      <c r="T124" s="12"/>
      <c r="U124" s="12"/>
      <c r="V124" s="36"/>
      <c r="W124" s="36"/>
      <c r="X124" s="36"/>
      <c r="Y124" s="36"/>
      <c r="Z124" s="36"/>
    </row>
    <row r="125" spans="1:26" ht="25.5" hidden="1" outlineLevel="2" x14ac:dyDescent="0.2">
      <c r="A125" s="53"/>
      <c r="B125" s="12"/>
      <c r="C125" s="123" t="s">
        <v>451</v>
      </c>
      <c r="D125" s="130" t="s">
        <v>467</v>
      </c>
      <c r="E125" s="55" t="s">
        <v>83</v>
      </c>
      <c r="F125" s="55">
        <v>3</v>
      </c>
      <c r="G125" s="55" t="s">
        <v>453</v>
      </c>
      <c r="H125" s="12" t="s">
        <v>468</v>
      </c>
      <c r="I125" s="130"/>
      <c r="J125" s="130"/>
      <c r="K125" s="130"/>
      <c r="L125" s="130"/>
      <c r="M125" s="130"/>
      <c r="N125" s="130"/>
      <c r="O125" s="130"/>
      <c r="P125" s="12" t="s">
        <v>83</v>
      </c>
      <c r="Q125" s="130"/>
      <c r="R125" s="12" t="str">
        <f t="shared" ref="R125:R127" si="18">IF(E125="no", H125, CONCATENATE(G125,". ",H125))</f>
        <v xml:space="preserve">a. &lt;b&gt;[Observe]: &lt;/b&gt;&lt;br&gt;Are RDTs stored in a dry area? </v>
      </c>
      <c r="S125" s="12" t="s">
        <v>469</v>
      </c>
      <c r="T125" s="12"/>
      <c r="U125" s="12"/>
      <c r="V125" s="12"/>
      <c r="W125" s="12"/>
      <c r="X125" s="12"/>
      <c r="Y125" s="12"/>
      <c r="Z125" s="12"/>
    </row>
    <row r="126" spans="1:26" ht="25.5" hidden="1" outlineLevel="2" x14ac:dyDescent="0.2">
      <c r="A126" s="53"/>
      <c r="B126" s="12"/>
      <c r="C126" s="123" t="s">
        <v>451</v>
      </c>
      <c r="D126" s="130" t="s">
        <v>470</v>
      </c>
      <c r="E126" s="55" t="s">
        <v>83</v>
      </c>
      <c r="F126" s="55">
        <v>3</v>
      </c>
      <c r="G126" s="55" t="s">
        <v>457</v>
      </c>
      <c r="H126" s="12" t="s">
        <v>471</v>
      </c>
      <c r="I126" s="130"/>
      <c r="J126" s="130"/>
      <c r="K126" s="130"/>
      <c r="L126" s="130"/>
      <c r="M126" s="130"/>
      <c r="N126" s="130"/>
      <c r="O126" s="130"/>
      <c r="P126" s="12" t="s">
        <v>83</v>
      </c>
      <c r="Q126" s="130"/>
      <c r="R126" s="12" t="str">
        <f t="shared" si="18"/>
        <v>b. &lt;b&gt;[Observe]: &lt;/b&gt;&lt;br&gt;Are RDTs protected from direct sunlight?</v>
      </c>
      <c r="S126" s="12" t="s">
        <v>472</v>
      </c>
      <c r="T126" s="12"/>
      <c r="U126" s="12"/>
      <c r="V126" s="12"/>
      <c r="W126" s="12"/>
      <c r="X126" s="12"/>
      <c r="Y126" s="12"/>
      <c r="Z126" s="12"/>
    </row>
    <row r="127" spans="1:26" ht="25.5" hidden="1" outlineLevel="2" x14ac:dyDescent="0.2">
      <c r="A127" s="53"/>
      <c r="B127" s="12"/>
      <c r="C127" s="123" t="s">
        <v>451</v>
      </c>
      <c r="D127" s="130" t="s">
        <v>473</v>
      </c>
      <c r="E127" s="55" t="s">
        <v>83</v>
      </c>
      <c r="F127" s="55">
        <v>3</v>
      </c>
      <c r="G127" s="55" t="s">
        <v>461</v>
      </c>
      <c r="H127" s="12" t="s">
        <v>474</v>
      </c>
      <c r="I127" s="130"/>
      <c r="J127" s="130"/>
      <c r="K127" s="130"/>
      <c r="L127" s="130"/>
      <c r="M127" s="130"/>
      <c r="N127" s="130"/>
      <c r="O127" s="130"/>
      <c r="P127" s="12" t="s">
        <v>83</v>
      </c>
      <c r="Q127" s="130"/>
      <c r="R127" s="12" t="str">
        <f t="shared" si="18"/>
        <v>c. &lt;b&gt;[Observe]: &lt;/b&gt;&lt;br&gt;Are RDTs kept on the floor?</v>
      </c>
      <c r="S127" s="12" t="s">
        <v>475</v>
      </c>
      <c r="T127" s="12"/>
      <c r="U127" s="12"/>
      <c r="V127" s="12"/>
      <c r="W127" s="12"/>
      <c r="X127" s="12"/>
      <c r="Y127" s="12"/>
      <c r="Z127" s="12"/>
    </row>
    <row r="128" spans="1:26" ht="15.75" hidden="1" outlineLevel="2" x14ac:dyDescent="0.2">
      <c r="A128" s="131"/>
      <c r="B128" s="12"/>
      <c r="C128" s="54" t="s">
        <v>174</v>
      </c>
      <c r="D128" s="130" t="s">
        <v>464</v>
      </c>
      <c r="E128" s="55" t="s">
        <v>91</v>
      </c>
      <c r="F128" s="55">
        <v>3</v>
      </c>
      <c r="G128" s="55"/>
      <c r="H128" s="12"/>
      <c r="I128" s="130"/>
      <c r="J128" s="130"/>
      <c r="K128" s="130"/>
      <c r="L128" s="130"/>
      <c r="M128" s="130"/>
      <c r="N128" s="130"/>
      <c r="O128" s="130"/>
      <c r="P128" s="130"/>
      <c r="Q128" s="130"/>
      <c r="R128" s="12"/>
      <c r="S128" s="12"/>
      <c r="T128" s="12"/>
      <c r="U128" s="12"/>
      <c r="V128" s="12"/>
      <c r="W128" s="12"/>
      <c r="X128" s="12"/>
      <c r="Y128" s="12"/>
      <c r="Z128" s="12"/>
    </row>
    <row r="129" spans="1:26" ht="51" hidden="1" outlineLevel="2" x14ac:dyDescent="0.2">
      <c r="A129" s="8"/>
      <c r="B129" s="36"/>
      <c r="C129" s="123" t="s">
        <v>212</v>
      </c>
      <c r="D129" s="12" t="s">
        <v>476</v>
      </c>
      <c r="E129" s="55" t="s">
        <v>83</v>
      </c>
      <c r="F129" s="55">
        <v>3</v>
      </c>
      <c r="G129" s="55">
        <v>3</v>
      </c>
      <c r="H129" s="12" t="s">
        <v>477</v>
      </c>
      <c r="I129" s="12"/>
      <c r="J129" s="12"/>
      <c r="K129" s="12"/>
      <c r="L129" s="12" t="s">
        <v>478</v>
      </c>
      <c r="M129" s="12"/>
      <c r="N129" s="12"/>
      <c r="O129" s="12"/>
      <c r="P129" s="12" t="s">
        <v>83</v>
      </c>
      <c r="Q129" s="12"/>
      <c r="R129" s="12" t="str">
        <f t="shared" ref="R129:R130" si="19">IF(E129="no", H129, CONCATENATE(G129,". &lt;br&gt;",H129))</f>
        <v>3. &lt;br&gt;&lt;br&gt; Does this outlet/facility have &lt;b&gt;disposable gloves&lt;/b&gt; available today for staff to use when seeing customers/patients?</v>
      </c>
      <c r="S129" s="12" t="s">
        <v>479</v>
      </c>
      <c r="T129" s="12"/>
      <c r="U129" s="12"/>
      <c r="V129" s="36"/>
      <c r="W129" s="36"/>
      <c r="X129" s="36"/>
      <c r="Y129" s="36"/>
      <c r="Z129" s="36"/>
    </row>
    <row r="130" spans="1:26" ht="63.75" hidden="1" outlineLevel="2" x14ac:dyDescent="0.2">
      <c r="A130" s="8"/>
      <c r="B130" s="36"/>
      <c r="C130" s="123" t="s">
        <v>212</v>
      </c>
      <c r="D130" s="12" t="s">
        <v>480</v>
      </c>
      <c r="E130" s="55" t="s">
        <v>83</v>
      </c>
      <c r="F130" s="55">
        <v>3</v>
      </c>
      <c r="G130" s="55">
        <v>4</v>
      </c>
      <c r="H130" s="12" t="s">
        <v>481</v>
      </c>
      <c r="I130" s="12"/>
      <c r="J130" s="12"/>
      <c r="K130" s="12"/>
      <c r="L130" s="12" t="s">
        <v>478</v>
      </c>
      <c r="M130" s="12"/>
      <c r="N130" s="12"/>
      <c r="O130" s="12"/>
      <c r="P130" s="12" t="s">
        <v>83</v>
      </c>
      <c r="Q130" s="12"/>
      <c r="R130" s="12" t="str">
        <f t="shared" si="19"/>
        <v>4. &lt;br&gt;&lt;br&gt;Does this outlet/facility have a &lt;b&gt;sharps container&lt;/b&gt;, also called a sharps disposal box or safety box, available today for staff to use?</v>
      </c>
      <c r="S130" s="12" t="s">
        <v>482</v>
      </c>
      <c r="T130" s="12"/>
      <c r="U130" s="12"/>
      <c r="V130" s="36"/>
      <c r="W130" s="36"/>
      <c r="X130" s="36"/>
      <c r="Y130" s="36"/>
      <c r="Z130" s="36"/>
    </row>
    <row r="131" spans="1:26" ht="15.75" hidden="1" outlineLevel="2" x14ac:dyDescent="0.2">
      <c r="A131" s="8"/>
      <c r="B131" s="10"/>
      <c r="C131" s="19" t="s">
        <v>174</v>
      </c>
      <c r="D131" s="120" t="s">
        <v>435</v>
      </c>
      <c r="E131" s="121"/>
      <c r="F131" s="121">
        <v>3</v>
      </c>
      <c r="G131" s="121"/>
      <c r="H131" s="122"/>
      <c r="I131" s="120"/>
      <c r="J131" s="120"/>
      <c r="K131" s="120"/>
      <c r="L131" s="120"/>
      <c r="M131" s="120"/>
      <c r="N131" s="120"/>
      <c r="O131" s="120"/>
      <c r="P131" s="120"/>
      <c r="Q131" s="120"/>
      <c r="R131" s="120"/>
      <c r="S131" s="120"/>
      <c r="T131" s="120"/>
      <c r="U131" s="120"/>
      <c r="V131" s="16"/>
      <c r="W131" s="16"/>
      <c r="X131" s="16"/>
      <c r="Y131" s="16"/>
      <c r="Z131" s="16"/>
    </row>
    <row r="132" spans="1:26" ht="114.75" hidden="1" outlineLevel="1" x14ac:dyDescent="0.2">
      <c r="A132" s="9" t="s">
        <v>175</v>
      </c>
      <c r="B132" s="9" t="s">
        <v>431</v>
      </c>
      <c r="C132" s="123" t="s">
        <v>182</v>
      </c>
      <c r="D132" s="12" t="s">
        <v>483</v>
      </c>
      <c r="E132" s="15"/>
      <c r="F132" s="15">
        <v>3</v>
      </c>
      <c r="G132" s="15" t="s">
        <v>484</v>
      </c>
      <c r="H132" s="12" t="s">
        <v>485</v>
      </c>
      <c r="I132" s="12"/>
      <c r="J132" s="12"/>
      <c r="K132" s="12"/>
      <c r="L132" s="120" t="s">
        <v>437</v>
      </c>
      <c r="M132" s="12"/>
      <c r="N132" s="12"/>
      <c r="O132" s="12"/>
      <c r="P132" s="10" t="s">
        <v>83</v>
      </c>
      <c r="Q132" s="12">
        <v>1</v>
      </c>
      <c r="R132" s="11" t="str">
        <f>IF(E132="no", H132, CONCATENATE(G132,". &lt;br&gt;",H132))</f>
        <v>End of section 3 of X. &lt;br&gt;&lt;font color="green"&gt;CHECKPOINT 3&lt;br&gt;&lt;br&gt;&lt;b&gt;INTERVIEWER&lt;/b&gt;&lt;br&gt;Are you able to continue the interview, that is, this interview &lt;b&gt;has not&lt;/b&gt; been interrupted?&lt;/font&gt;</v>
      </c>
      <c r="S132" s="11" t="s">
        <v>398</v>
      </c>
      <c r="T132" s="11"/>
      <c r="U132" s="11"/>
      <c r="V132" s="12"/>
      <c r="W132" s="12"/>
      <c r="X132" s="12"/>
      <c r="Y132" s="12"/>
      <c r="Z132" s="12"/>
    </row>
    <row r="133" spans="1:26" ht="15.75" hidden="1" outlineLevel="1" x14ac:dyDescent="0.2">
      <c r="A133" s="8"/>
      <c r="B133" s="10"/>
      <c r="C133" s="114"/>
      <c r="D133" s="10"/>
      <c r="E133" s="15"/>
      <c r="F133" s="15"/>
      <c r="G133" s="15"/>
      <c r="H133" s="10"/>
      <c r="I133" s="10"/>
      <c r="J133" s="10"/>
      <c r="K133" s="10"/>
      <c r="L133" s="10"/>
      <c r="M133" s="10"/>
      <c r="N133" s="10"/>
      <c r="O133" s="10"/>
      <c r="P133" s="10"/>
      <c r="Q133" s="10"/>
      <c r="R133" s="11"/>
      <c r="S133" s="11"/>
      <c r="T133" s="11"/>
      <c r="U133" s="11"/>
      <c r="V133" s="12"/>
      <c r="W133" s="12"/>
      <c r="X133" s="12"/>
      <c r="Y133" s="12"/>
      <c r="Z133" s="12"/>
    </row>
    <row r="134" spans="1:26" ht="15.75" hidden="1" outlineLevel="1" x14ac:dyDescent="0.2">
      <c r="A134" s="8"/>
      <c r="B134" s="10"/>
      <c r="C134" s="114"/>
      <c r="D134" s="10"/>
      <c r="E134" s="15"/>
      <c r="F134" s="15"/>
      <c r="G134" s="15"/>
      <c r="H134" s="10"/>
      <c r="I134" s="10"/>
      <c r="J134" s="10"/>
      <c r="K134" s="10"/>
      <c r="L134" s="10"/>
      <c r="M134" s="10"/>
      <c r="N134" s="10"/>
      <c r="O134" s="10"/>
      <c r="P134" s="10"/>
      <c r="Q134" s="10"/>
      <c r="R134" s="11"/>
      <c r="S134" s="11"/>
      <c r="T134" s="11"/>
      <c r="U134" s="11"/>
      <c r="V134" s="12"/>
      <c r="W134" s="12"/>
      <c r="X134" s="12"/>
      <c r="Y134" s="12"/>
      <c r="Z134" s="12"/>
    </row>
    <row r="135" spans="1:26" ht="15.75" hidden="1" outlineLevel="1" x14ac:dyDescent="0.2">
      <c r="A135" s="8"/>
      <c r="B135" s="10"/>
      <c r="C135" s="114"/>
      <c r="D135" s="10"/>
      <c r="E135" s="15"/>
      <c r="F135" s="15"/>
      <c r="G135" s="15"/>
      <c r="H135" s="10"/>
      <c r="I135" s="10"/>
      <c r="J135" s="10"/>
      <c r="K135" s="10"/>
      <c r="L135" s="10"/>
      <c r="M135" s="10"/>
      <c r="N135" s="10"/>
      <c r="O135" s="10"/>
      <c r="P135" s="10"/>
      <c r="Q135" s="10"/>
      <c r="R135" s="11"/>
      <c r="S135" s="11"/>
      <c r="T135" s="11"/>
      <c r="U135" s="11"/>
      <c r="V135" s="12"/>
      <c r="W135" s="12"/>
      <c r="X135" s="12"/>
      <c r="Y135" s="12"/>
      <c r="Z135" s="12"/>
    </row>
    <row r="136" spans="1:26" ht="15.75" hidden="1" outlineLevel="1" x14ac:dyDescent="0.2">
      <c r="A136" s="8"/>
      <c r="B136" s="10"/>
      <c r="C136" s="114"/>
      <c r="D136" s="10"/>
      <c r="E136" s="15"/>
      <c r="F136" s="15"/>
      <c r="G136" s="15"/>
      <c r="H136" s="10"/>
      <c r="I136" s="10"/>
      <c r="J136" s="10"/>
      <c r="K136" s="10"/>
      <c r="L136" s="10"/>
      <c r="M136" s="10"/>
      <c r="N136" s="10"/>
      <c r="O136" s="10"/>
      <c r="P136" s="10"/>
      <c r="Q136" s="10"/>
      <c r="R136" s="11"/>
      <c r="S136" s="11"/>
      <c r="T136" s="11"/>
      <c r="U136" s="11"/>
      <c r="V136" s="12"/>
      <c r="W136" s="12"/>
      <c r="X136" s="12"/>
      <c r="Y136" s="12"/>
      <c r="Z136" s="12"/>
    </row>
    <row r="137" spans="1:26" ht="15.75" hidden="1" outlineLevel="1" x14ac:dyDescent="0.2">
      <c r="A137" s="8"/>
      <c r="B137" s="10"/>
      <c r="C137" s="114"/>
      <c r="D137" s="10"/>
      <c r="E137" s="15"/>
      <c r="F137" s="15"/>
      <c r="G137" s="15"/>
      <c r="H137" s="10"/>
      <c r="I137" s="10"/>
      <c r="J137" s="10"/>
      <c r="K137" s="10"/>
      <c r="L137" s="10"/>
      <c r="M137" s="10"/>
      <c r="N137" s="10"/>
      <c r="O137" s="10"/>
      <c r="P137" s="10"/>
      <c r="Q137" s="10"/>
      <c r="R137" s="11"/>
      <c r="S137" s="11"/>
      <c r="T137" s="11"/>
      <c r="U137" s="11"/>
      <c r="V137" s="12"/>
      <c r="W137" s="12"/>
      <c r="X137" s="12"/>
      <c r="Y137" s="12"/>
      <c r="Z137" s="12"/>
    </row>
    <row r="138" spans="1:26" ht="63.75" outlineLevel="1" x14ac:dyDescent="0.2">
      <c r="A138" s="119" t="s">
        <v>17</v>
      </c>
      <c r="B138" s="116" t="s">
        <v>326</v>
      </c>
      <c r="C138" s="19" t="s">
        <v>89</v>
      </c>
      <c r="D138" s="120" t="s">
        <v>486</v>
      </c>
      <c r="E138" s="121" t="s">
        <v>91</v>
      </c>
      <c r="F138" s="121" t="s">
        <v>487</v>
      </c>
      <c r="G138" s="121">
        <v>0</v>
      </c>
      <c r="H138" s="122" t="s">
        <v>488</v>
      </c>
      <c r="I138" s="120"/>
      <c r="J138" s="120"/>
      <c r="K138" s="120"/>
      <c r="L138" s="120" t="s">
        <v>489</v>
      </c>
      <c r="M138" s="120"/>
      <c r="N138" s="120"/>
      <c r="O138" s="120"/>
      <c r="P138" s="120"/>
      <c r="Q138" s="120"/>
      <c r="R138" s="120" t="str">
        <f t="shared" ref="R138:R143" si="20">IF(E138="no", H138, CONCATENATE(G138,". &lt;br&gt;",H138))</f>
        <v>Section 4: Respondent malaria knowledge</v>
      </c>
      <c r="S138" s="120" t="s">
        <v>403</v>
      </c>
      <c r="T138" s="120"/>
      <c r="U138" s="120"/>
      <c r="V138" s="16"/>
      <c r="W138" s="16"/>
      <c r="X138" s="16"/>
      <c r="Y138" s="16"/>
      <c r="Z138" s="16"/>
    </row>
    <row r="139" spans="1:26" ht="153" hidden="1" outlineLevel="2" x14ac:dyDescent="0.2">
      <c r="A139" s="28"/>
      <c r="B139" s="31"/>
      <c r="C139" s="114" t="s">
        <v>76</v>
      </c>
      <c r="D139" s="10" t="s">
        <v>490</v>
      </c>
      <c r="E139" s="15" t="s">
        <v>91</v>
      </c>
      <c r="F139" s="15" t="s">
        <v>487</v>
      </c>
      <c r="G139" s="15">
        <v>7</v>
      </c>
      <c r="H139" s="10" t="s">
        <v>491</v>
      </c>
      <c r="I139" s="10"/>
      <c r="J139" s="10"/>
      <c r="K139" s="10"/>
      <c r="L139" s="10"/>
      <c r="M139" s="10"/>
      <c r="N139" s="10"/>
      <c r="O139" s="10"/>
      <c r="P139" s="10"/>
      <c r="Q139" s="10"/>
      <c r="R139" s="11" t="str">
        <f t="shared" si="20"/>
        <v>&lt;br&gt;&lt;br&gt;&lt;h4&gt;Provider module section 4. Malaria Knowledge&lt;/h4&gt;&lt;br&gt;&lt;br&gt;
&lt;font color="blue"&gt;
&lt;b&gt;Interviewer: &lt;/b&gt;&lt;br&gt;
&lt;i&gt;Inform your provider that this short section will capture the providers knowledge of malaria testing and treatment. It is not an exam and we only care about their opinions. Their individual responses will not be shared.&lt;/i&gt;</v>
      </c>
      <c r="S139" s="11" t="s">
        <v>492</v>
      </c>
      <c r="T139" s="11"/>
      <c r="U139" s="11"/>
      <c r="V139" s="12"/>
      <c r="W139" s="12"/>
      <c r="X139" s="12"/>
      <c r="Y139" s="12"/>
      <c r="Z139" s="12"/>
    </row>
    <row r="140" spans="1:26" ht="15.75" outlineLevel="2" x14ac:dyDescent="0.2">
      <c r="A140" s="8"/>
      <c r="B140" s="38"/>
      <c r="C140" s="123" t="s">
        <v>89</v>
      </c>
      <c r="D140" s="12" t="s">
        <v>493</v>
      </c>
      <c r="E140" s="15" t="s">
        <v>91</v>
      </c>
      <c r="F140" s="15" t="s">
        <v>487</v>
      </c>
      <c r="G140" s="15">
        <f t="shared" ref="G140:G151" si="21">IF(E140="no", G139, IF(F140=F139, G139+1, 1))</f>
        <v>7</v>
      </c>
      <c r="H140" s="36" t="s">
        <v>494</v>
      </c>
      <c r="I140" s="12"/>
      <c r="J140" s="12"/>
      <c r="K140" s="12"/>
      <c r="L140" s="12"/>
      <c r="M140" s="12"/>
      <c r="N140" s="12" t="s">
        <v>199</v>
      </c>
      <c r="O140" s="12"/>
      <c r="P140" s="12"/>
      <c r="Q140" s="12"/>
      <c r="R140" s="11" t="str">
        <f t="shared" si="20"/>
        <v>Most effective treatment</v>
      </c>
      <c r="S140" s="11" t="s">
        <v>495</v>
      </c>
      <c r="T140" s="11"/>
      <c r="U140" s="11"/>
      <c r="V140" s="12"/>
      <c r="W140" s="12"/>
      <c r="X140" s="12"/>
      <c r="Y140" s="12"/>
      <c r="Z140" s="12"/>
    </row>
    <row r="141" spans="1:26" ht="89.25" hidden="1" outlineLevel="2" x14ac:dyDescent="0.2">
      <c r="A141" s="48" t="s">
        <v>496</v>
      </c>
      <c r="B141" s="9" t="s">
        <v>497</v>
      </c>
      <c r="C141" s="123" t="s">
        <v>76</v>
      </c>
      <c r="D141" s="12" t="s">
        <v>498</v>
      </c>
      <c r="E141" s="15" t="s">
        <v>83</v>
      </c>
      <c r="F141" s="15" t="s">
        <v>487</v>
      </c>
      <c r="G141" s="15">
        <f t="shared" si="21"/>
        <v>8</v>
      </c>
      <c r="H141" s="10" t="s">
        <v>499</v>
      </c>
      <c r="I141" s="10" t="s">
        <v>500</v>
      </c>
      <c r="J141" s="12"/>
      <c r="K141" s="12"/>
      <c r="L141" s="12"/>
      <c r="M141" s="12"/>
      <c r="N141" s="10"/>
      <c r="O141" s="12"/>
      <c r="P141" s="12"/>
      <c r="Q141" s="12"/>
      <c r="R141" s="11" t="str">
        <f t="shared" si="20"/>
        <v>8. &lt;br&gt;Please name one first-line drug &lt;b&gt;recommended by the government&lt;/b&gt; to treat uncomplicated malaria.
&lt;br&gt;(i.e. what is the most effective drug to treat uncomplicated malaria)?</v>
      </c>
      <c r="S141" s="11" t="s">
        <v>501</v>
      </c>
      <c r="T141" s="11" t="s">
        <v>502</v>
      </c>
      <c r="U141" s="11"/>
      <c r="V141" s="36"/>
      <c r="W141" s="36"/>
      <c r="X141" s="36"/>
      <c r="Y141" s="36"/>
      <c r="Z141" s="36"/>
    </row>
    <row r="142" spans="1:26" ht="15.75" hidden="1" outlineLevel="2" x14ac:dyDescent="0.2">
      <c r="A142" s="8"/>
      <c r="B142" s="49"/>
      <c r="C142" s="114" t="s">
        <v>503</v>
      </c>
      <c r="D142" s="10" t="s">
        <v>504</v>
      </c>
      <c r="E142" s="15" t="s">
        <v>91</v>
      </c>
      <c r="F142" s="15" t="s">
        <v>487</v>
      </c>
      <c r="G142" s="15">
        <f t="shared" si="21"/>
        <v>8</v>
      </c>
      <c r="H142" s="10" t="s">
        <v>505</v>
      </c>
      <c r="I142" s="10"/>
      <c r="J142" s="10"/>
      <c r="K142" s="10"/>
      <c r="L142" s="10"/>
      <c r="M142" s="10"/>
      <c r="N142" s="10" t="s">
        <v>506</v>
      </c>
      <c r="O142" s="10"/>
      <c r="P142" s="10" t="s">
        <v>83</v>
      </c>
      <c r="Q142" s="10"/>
      <c r="R142" s="11" t="str">
        <f t="shared" si="20"/>
        <v>&lt;br&gt; &lt;b&gt;Generic name:&lt;/b&gt;</v>
      </c>
      <c r="S142" s="11" t="s">
        <v>507</v>
      </c>
      <c r="T142" s="11"/>
      <c r="U142" s="11"/>
      <c r="V142" s="12"/>
      <c r="W142" s="12"/>
      <c r="X142" s="12"/>
      <c r="Y142" s="12"/>
      <c r="Z142" s="12"/>
    </row>
    <row r="143" spans="1:26" ht="15.75" hidden="1" outlineLevel="2" x14ac:dyDescent="0.2">
      <c r="A143" s="8"/>
      <c r="B143" s="10"/>
      <c r="C143" s="114" t="s">
        <v>508</v>
      </c>
      <c r="D143" s="10" t="s">
        <v>509</v>
      </c>
      <c r="E143" s="15" t="s">
        <v>91</v>
      </c>
      <c r="F143" s="15" t="s">
        <v>487</v>
      </c>
      <c r="G143" s="15">
        <f t="shared" si="21"/>
        <v>8</v>
      </c>
      <c r="H143" s="10" t="s">
        <v>510</v>
      </c>
      <c r="I143" s="10"/>
      <c r="J143" s="10"/>
      <c r="K143" s="10"/>
      <c r="L143" s="12"/>
      <c r="M143" s="10"/>
      <c r="N143" s="10" t="s">
        <v>506</v>
      </c>
      <c r="O143" s="10"/>
      <c r="P143" s="10" t="s">
        <v>83</v>
      </c>
      <c r="Q143" s="10"/>
      <c r="R143" s="11" t="str">
        <f t="shared" si="20"/>
        <v>&lt;br&gt; &lt;b&gt;Dosage form:&lt;/b&gt;</v>
      </c>
      <c r="S143" s="11" t="s">
        <v>511</v>
      </c>
      <c r="T143" s="11"/>
      <c r="U143" s="11"/>
      <c r="V143" s="12"/>
      <c r="W143" s="12"/>
      <c r="X143" s="12"/>
      <c r="Y143" s="12"/>
      <c r="Z143" s="12"/>
    </row>
    <row r="144" spans="1:26" ht="15.75" hidden="1" outlineLevel="2" x14ac:dyDescent="0.2">
      <c r="A144" s="8"/>
      <c r="B144" s="10"/>
      <c r="C144" s="114" t="s">
        <v>174</v>
      </c>
      <c r="D144" s="10" t="s">
        <v>493</v>
      </c>
      <c r="E144" s="15" t="s">
        <v>91</v>
      </c>
      <c r="F144" s="15" t="s">
        <v>487</v>
      </c>
      <c r="G144" s="15">
        <f t="shared" si="21"/>
        <v>8</v>
      </c>
      <c r="H144" s="10"/>
      <c r="I144" s="10"/>
      <c r="J144" s="10"/>
      <c r="K144" s="10"/>
      <c r="L144" s="10"/>
      <c r="M144" s="10"/>
      <c r="N144" s="10"/>
      <c r="O144" s="10"/>
      <c r="P144" s="10"/>
      <c r="Q144" s="10"/>
      <c r="R144" s="11"/>
      <c r="S144" s="11"/>
      <c r="T144" s="11"/>
      <c r="U144" s="11"/>
      <c r="V144" s="12"/>
      <c r="W144" s="12"/>
      <c r="X144" s="12"/>
      <c r="Y144" s="12"/>
      <c r="Z144" s="12"/>
    </row>
    <row r="145" spans="1:26" ht="25.5" hidden="1" outlineLevel="2" x14ac:dyDescent="0.2">
      <c r="A145" s="8"/>
      <c r="B145" s="49"/>
      <c r="C145" s="114" t="s">
        <v>144</v>
      </c>
      <c r="D145" s="10" t="s">
        <v>512</v>
      </c>
      <c r="E145" s="15" t="s">
        <v>91</v>
      </c>
      <c r="F145" s="15" t="s">
        <v>487</v>
      </c>
      <c r="G145" s="15">
        <f t="shared" si="21"/>
        <v>8</v>
      </c>
      <c r="H145" s="10" t="s">
        <v>513</v>
      </c>
      <c r="I145" s="10"/>
      <c r="J145" s="10"/>
      <c r="K145" s="10"/>
      <c r="L145" s="12" t="s">
        <v>514</v>
      </c>
      <c r="M145" s="10"/>
      <c r="N145" s="10"/>
      <c r="O145" s="10"/>
      <c r="P145" s="10" t="s">
        <v>83</v>
      </c>
      <c r="Q145" s="10"/>
      <c r="R145" s="11" t="str">
        <f t="shared" ref="R145:R151" si="22">IF(E145="no", H145, CONCATENATE(G145,". &lt;br&gt;",H145))</f>
        <v xml:space="preserve">Other, specify: </v>
      </c>
      <c r="S145" s="11" t="s">
        <v>515</v>
      </c>
      <c r="T145" s="11"/>
      <c r="U145" s="11"/>
      <c r="V145" s="12"/>
      <c r="W145" s="12"/>
      <c r="X145" s="12"/>
      <c r="Y145" s="12"/>
      <c r="Z145" s="12"/>
    </row>
    <row r="146" spans="1:26" ht="47.25" hidden="1" outlineLevel="2" x14ac:dyDescent="0.2">
      <c r="A146" s="48" t="s">
        <v>516</v>
      </c>
      <c r="B146" s="38"/>
      <c r="C146" s="56" t="s">
        <v>212</v>
      </c>
      <c r="D146" s="132" t="s">
        <v>517</v>
      </c>
      <c r="E146" s="133" t="s">
        <v>83</v>
      </c>
      <c r="F146" s="133" t="s">
        <v>487</v>
      </c>
      <c r="G146" s="133">
        <f t="shared" si="21"/>
        <v>9</v>
      </c>
      <c r="H146" s="132" t="s">
        <v>518</v>
      </c>
      <c r="I146" s="132"/>
      <c r="J146" s="132"/>
      <c r="K146" s="132"/>
      <c r="L146" s="132"/>
      <c r="M146" s="132"/>
      <c r="N146" s="132"/>
      <c r="O146" s="132"/>
      <c r="P146" s="132" t="s">
        <v>83</v>
      </c>
      <c r="Q146" s="132"/>
      <c r="R146" s="134" t="str">
        <f t="shared" si="22"/>
        <v>9. &lt;br&gt;&lt;br&gt;&lt;b&gt;Have you ever seen or heard of a malaria rapid diagnostic test (RDT)?&lt;/b&gt;</v>
      </c>
      <c r="S146" s="134" t="s">
        <v>519</v>
      </c>
      <c r="T146" s="134"/>
      <c r="U146" s="134"/>
      <c r="V146" s="12"/>
      <c r="W146" s="12"/>
      <c r="X146" s="12"/>
      <c r="Y146" s="12"/>
      <c r="Z146" s="12"/>
    </row>
    <row r="147" spans="1:26" ht="76.5" hidden="1" outlineLevel="2" x14ac:dyDescent="0.2">
      <c r="A147" s="8"/>
      <c r="B147" s="49"/>
      <c r="C147" s="114" t="s">
        <v>212</v>
      </c>
      <c r="D147" s="10" t="s">
        <v>520</v>
      </c>
      <c r="E147" s="15" t="s">
        <v>83</v>
      </c>
      <c r="F147" s="15" t="s">
        <v>487</v>
      </c>
      <c r="G147" s="15">
        <f t="shared" si="21"/>
        <v>10</v>
      </c>
      <c r="H147" s="12" t="s">
        <v>521</v>
      </c>
      <c r="I147" s="10" t="s">
        <v>522</v>
      </c>
      <c r="J147" s="10"/>
      <c r="K147" s="10"/>
      <c r="L147" s="10" t="s">
        <v>523</v>
      </c>
      <c r="M147" s="10"/>
      <c r="N147" s="10"/>
      <c r="O147" s="10"/>
      <c r="P147" s="10" t="s">
        <v>83</v>
      </c>
      <c r="Q147" s="10"/>
      <c r="R147" s="11" t="str">
        <f t="shared" si="22"/>
        <v>10. &lt;br&gt;&lt;br&gt; While working at this outlet/ business, have you ever tested a client for malaria using an RDT?</v>
      </c>
      <c r="S147" s="11" t="s">
        <v>524</v>
      </c>
      <c r="T147" s="11" t="s">
        <v>525</v>
      </c>
      <c r="U147" s="11"/>
      <c r="V147" s="12"/>
      <c r="W147" s="12"/>
      <c r="X147" s="12"/>
      <c r="Y147" s="12"/>
      <c r="Z147" s="12"/>
    </row>
    <row r="148" spans="1:26" ht="78.75" hidden="1" outlineLevel="2" x14ac:dyDescent="0.2">
      <c r="A148" s="48" t="s">
        <v>526</v>
      </c>
      <c r="B148" s="12"/>
      <c r="C148" s="123" t="s">
        <v>212</v>
      </c>
      <c r="D148" s="12" t="s">
        <v>527</v>
      </c>
      <c r="E148" s="55" t="s">
        <v>83</v>
      </c>
      <c r="F148" s="55" t="s">
        <v>487</v>
      </c>
      <c r="G148" s="55">
        <f t="shared" si="21"/>
        <v>11</v>
      </c>
      <c r="H148" s="12" t="s">
        <v>528</v>
      </c>
      <c r="I148" s="12" t="s">
        <v>529</v>
      </c>
      <c r="J148" s="12"/>
      <c r="K148" s="12"/>
      <c r="L148" s="12"/>
      <c r="M148" s="12"/>
      <c r="N148" s="12"/>
      <c r="O148" s="12"/>
      <c r="P148" s="12"/>
      <c r="Q148" s="12"/>
      <c r="R148" s="12" t="str">
        <f t="shared" si="22"/>
        <v>11. &lt;br&gt;&lt;br&gt; Is a prescription or positive malaria test result required to purchase an antimalarial at this outlet?</v>
      </c>
      <c r="S148" s="12" t="s">
        <v>442</v>
      </c>
      <c r="T148" s="12" t="s">
        <v>442</v>
      </c>
      <c r="U148" s="12"/>
      <c r="V148" s="12"/>
      <c r="W148" s="12"/>
      <c r="X148" s="12"/>
      <c r="Y148" s="12"/>
      <c r="Z148" s="12"/>
    </row>
    <row r="149" spans="1:26" ht="63" hidden="1" outlineLevel="2" x14ac:dyDescent="0.2">
      <c r="A149" s="48" t="s">
        <v>530</v>
      </c>
      <c r="B149" s="10"/>
      <c r="C149" s="114" t="s">
        <v>531</v>
      </c>
      <c r="D149" s="10" t="s">
        <v>532</v>
      </c>
      <c r="E149" s="15" t="s">
        <v>83</v>
      </c>
      <c r="F149" s="15" t="s">
        <v>487</v>
      </c>
      <c r="G149" s="15">
        <f t="shared" si="21"/>
        <v>12</v>
      </c>
      <c r="H149" s="10" t="s">
        <v>533</v>
      </c>
      <c r="I149" s="10" t="s">
        <v>534</v>
      </c>
      <c r="J149" s="10"/>
      <c r="K149" s="10"/>
      <c r="L149" s="10"/>
      <c r="M149" s="10"/>
      <c r="N149" s="10"/>
      <c r="O149" s="10"/>
      <c r="P149" s="10" t="s">
        <v>83</v>
      </c>
      <c r="Q149" s="10"/>
      <c r="R149" s="11" t="str">
        <f t="shared" si="22"/>
        <v>12. &lt;br&gt;&lt;br&gt; Would you recommend that a patient/client take an antimalarial drug if the rapid diagnostic test is negative for malaria?</v>
      </c>
      <c r="S149" s="11" t="s">
        <v>535</v>
      </c>
      <c r="T149" s="11" t="s">
        <v>536</v>
      </c>
      <c r="U149" s="11"/>
      <c r="V149" s="12"/>
      <c r="W149" s="12"/>
      <c r="X149" s="12"/>
      <c r="Y149" s="12"/>
      <c r="Z149" s="12"/>
    </row>
    <row r="150" spans="1:26" ht="76.5" hidden="1" outlineLevel="2" x14ac:dyDescent="0.2">
      <c r="A150" s="8"/>
      <c r="B150" s="10"/>
      <c r="C150" s="114" t="s">
        <v>537</v>
      </c>
      <c r="D150" s="10" t="s">
        <v>538</v>
      </c>
      <c r="E150" s="15" t="s">
        <v>83</v>
      </c>
      <c r="F150" s="15" t="s">
        <v>487</v>
      </c>
      <c r="G150" s="15">
        <f t="shared" si="21"/>
        <v>13</v>
      </c>
      <c r="H150" s="10" t="s">
        <v>539</v>
      </c>
      <c r="I150" s="10" t="s">
        <v>540</v>
      </c>
      <c r="J150" s="10"/>
      <c r="K150" s="10"/>
      <c r="L150" s="10" t="s">
        <v>541</v>
      </c>
      <c r="M150" s="10"/>
      <c r="N150" s="10" t="s">
        <v>411</v>
      </c>
      <c r="O150" s="10"/>
      <c r="P150" s="10" t="s">
        <v>83</v>
      </c>
      <c r="Q150" s="10"/>
      <c r="R150" s="11" t="str">
        <f t="shared" si="22"/>
        <v>13. &lt;br&gt;&lt;br&gt; Under what circumstances would you recommend that a patient/client take an antimalarial drug after a negative RDT test for malaria?</v>
      </c>
      <c r="S150" s="11" t="s">
        <v>542</v>
      </c>
      <c r="T150" s="11" t="s">
        <v>543</v>
      </c>
      <c r="U150" s="11"/>
      <c r="V150" s="12"/>
      <c r="W150" s="12"/>
      <c r="X150" s="12"/>
      <c r="Y150" s="12"/>
      <c r="Z150" s="12"/>
    </row>
    <row r="151" spans="1:26" ht="25.5" hidden="1" outlineLevel="2" x14ac:dyDescent="0.2">
      <c r="A151" s="8"/>
      <c r="B151" s="10"/>
      <c r="C151" s="114" t="s">
        <v>144</v>
      </c>
      <c r="D151" s="10" t="s">
        <v>544</v>
      </c>
      <c r="E151" s="15" t="s">
        <v>91</v>
      </c>
      <c r="F151" s="15" t="s">
        <v>487</v>
      </c>
      <c r="G151" s="15">
        <f t="shared" si="21"/>
        <v>13</v>
      </c>
      <c r="H151" s="10" t="s">
        <v>545</v>
      </c>
      <c r="I151" s="10"/>
      <c r="J151" s="10"/>
      <c r="K151" s="10"/>
      <c r="L151" s="10" t="s">
        <v>546</v>
      </c>
      <c r="M151" s="10"/>
      <c r="N151" s="10"/>
      <c r="O151" s="10"/>
      <c r="P151" s="10" t="s">
        <v>83</v>
      </c>
      <c r="Q151" s="10"/>
      <c r="R151" s="11" t="str">
        <f t="shared" si="22"/>
        <v>Other circumstances</v>
      </c>
      <c r="S151" s="11" t="s">
        <v>547</v>
      </c>
      <c r="T151" s="11"/>
      <c r="U151" s="11"/>
      <c r="V151" s="12"/>
      <c r="W151" s="12"/>
      <c r="X151" s="12"/>
      <c r="Y151" s="12"/>
      <c r="Z151" s="12"/>
    </row>
    <row r="152" spans="1:26" ht="15.75" hidden="1" outlineLevel="2" x14ac:dyDescent="0.2">
      <c r="A152" s="8"/>
      <c r="B152" s="10"/>
      <c r="C152" s="19" t="s">
        <v>174</v>
      </c>
      <c r="D152" s="120" t="s">
        <v>486</v>
      </c>
      <c r="E152" s="121"/>
      <c r="F152" s="121" t="s">
        <v>487</v>
      </c>
      <c r="G152" s="121"/>
      <c r="H152" s="122"/>
      <c r="I152" s="120"/>
      <c r="J152" s="120"/>
      <c r="K152" s="120"/>
      <c r="L152" s="120"/>
      <c r="M152" s="120"/>
      <c r="N152" s="120"/>
      <c r="O152" s="120"/>
      <c r="P152" s="120"/>
      <c r="Q152" s="120"/>
      <c r="R152" s="120"/>
      <c r="S152" s="120"/>
      <c r="T152" s="120"/>
      <c r="U152" s="120"/>
      <c r="V152" s="16"/>
      <c r="W152" s="16"/>
      <c r="X152" s="16"/>
      <c r="Y152" s="16"/>
      <c r="Z152" s="16"/>
    </row>
    <row r="153" spans="1:26" ht="114.75" hidden="1" outlineLevel="1" x14ac:dyDescent="0.2">
      <c r="A153" s="9" t="s">
        <v>175</v>
      </c>
      <c r="B153" s="9" t="s">
        <v>431</v>
      </c>
      <c r="C153" s="123" t="s">
        <v>182</v>
      </c>
      <c r="D153" s="12" t="s">
        <v>548</v>
      </c>
      <c r="E153" s="15"/>
      <c r="F153" s="15" t="s">
        <v>487</v>
      </c>
      <c r="G153" s="15" t="s">
        <v>549</v>
      </c>
      <c r="H153" s="12" t="s">
        <v>550</v>
      </c>
      <c r="I153" s="12"/>
      <c r="J153" s="12"/>
      <c r="K153" s="12"/>
      <c r="L153" s="120" t="s">
        <v>489</v>
      </c>
      <c r="M153" s="12"/>
      <c r="N153" s="12"/>
      <c r="O153" s="12"/>
      <c r="P153" s="10" t="s">
        <v>83</v>
      </c>
      <c r="Q153" s="12">
        <v>1</v>
      </c>
      <c r="R153" s="11" t="str">
        <f>IF(E153="no", H153, CONCATENATE(G153,". &lt;br&gt;",H153))</f>
        <v>End of section 4 of X. &lt;br&gt;&lt;font color="green"&gt;CHECKPOINT 4&lt;br&gt;&lt;br&gt;&lt;b&gt;INTERVIEWER&lt;/b&gt;&lt;br&gt;Are you able to continue the interview, that is, this interview &lt;b&gt;has not&lt;/b&gt; been interrupted?&lt;/font&gt;</v>
      </c>
      <c r="S153" s="11" t="s">
        <v>551</v>
      </c>
      <c r="T153" s="11"/>
      <c r="U153" s="11"/>
      <c r="V153" s="12"/>
      <c r="W153" s="12"/>
      <c r="X153" s="12"/>
      <c r="Y153" s="12"/>
      <c r="Z153" s="12"/>
    </row>
    <row r="154" spans="1:26" ht="15.75" hidden="1" outlineLevel="1" x14ac:dyDescent="0.2">
      <c r="A154" s="8"/>
      <c r="B154" s="37"/>
      <c r="C154" s="123"/>
      <c r="D154" s="12"/>
      <c r="E154" s="15"/>
      <c r="F154" s="15"/>
      <c r="G154" s="15"/>
      <c r="H154" s="12"/>
      <c r="I154" s="12"/>
      <c r="J154" s="12"/>
      <c r="K154" s="12"/>
      <c r="L154" s="10"/>
      <c r="M154" s="12"/>
      <c r="N154" s="12"/>
      <c r="O154" s="12"/>
      <c r="P154" s="10"/>
      <c r="Q154" s="12"/>
      <c r="R154" s="11"/>
      <c r="S154" s="11"/>
      <c r="T154" s="11"/>
      <c r="U154" s="11"/>
      <c r="V154" s="12"/>
      <c r="W154" s="12"/>
      <c r="X154" s="12"/>
      <c r="Y154" s="12"/>
      <c r="Z154" s="12"/>
    </row>
    <row r="155" spans="1:26" ht="15.75" hidden="1" outlineLevel="1" x14ac:dyDescent="0.2">
      <c r="A155" s="8"/>
      <c r="B155" s="37"/>
      <c r="C155" s="123"/>
      <c r="D155" s="12"/>
      <c r="E155" s="15"/>
      <c r="F155" s="15"/>
      <c r="G155" s="15"/>
      <c r="H155" s="12"/>
      <c r="I155" s="12"/>
      <c r="J155" s="12"/>
      <c r="K155" s="12"/>
      <c r="L155" s="10"/>
      <c r="M155" s="12"/>
      <c r="N155" s="12"/>
      <c r="O155" s="12"/>
      <c r="P155" s="10"/>
      <c r="Q155" s="12"/>
      <c r="R155" s="11"/>
      <c r="S155" s="11"/>
      <c r="T155" s="11"/>
      <c r="U155" s="11"/>
      <c r="V155" s="12"/>
      <c r="W155" s="12"/>
      <c r="X155" s="12"/>
      <c r="Y155" s="12"/>
      <c r="Z155" s="12"/>
    </row>
    <row r="156" spans="1:26" ht="15.75" hidden="1" outlineLevel="1" x14ac:dyDescent="0.2">
      <c r="A156" s="8"/>
      <c r="B156" s="35"/>
      <c r="C156" s="123"/>
      <c r="D156" s="12"/>
      <c r="E156" s="15"/>
      <c r="F156" s="15"/>
      <c r="G156" s="15"/>
      <c r="H156" s="12"/>
      <c r="I156" s="12"/>
      <c r="J156" s="12"/>
      <c r="K156" s="12"/>
      <c r="L156" s="10"/>
      <c r="M156" s="12"/>
      <c r="N156" s="12"/>
      <c r="O156" s="12"/>
      <c r="P156" s="10"/>
      <c r="Q156" s="12"/>
      <c r="R156" s="11"/>
      <c r="S156" s="11"/>
      <c r="T156" s="11"/>
      <c r="U156" s="11"/>
      <c r="V156" s="12"/>
      <c r="W156" s="12"/>
      <c r="X156" s="12"/>
      <c r="Y156" s="12"/>
      <c r="Z156" s="12"/>
    </row>
    <row r="157" spans="1:26" ht="15.75" hidden="1" outlineLevel="1" x14ac:dyDescent="0.2">
      <c r="A157" s="8"/>
      <c r="B157" s="35"/>
      <c r="C157" s="123"/>
      <c r="D157" s="12"/>
      <c r="E157" s="15"/>
      <c r="F157" s="15"/>
      <c r="G157" s="15"/>
      <c r="H157" s="12"/>
      <c r="I157" s="12"/>
      <c r="J157" s="12"/>
      <c r="K157" s="12"/>
      <c r="L157" s="10"/>
      <c r="M157" s="12"/>
      <c r="N157" s="12"/>
      <c r="O157" s="12"/>
      <c r="P157" s="10"/>
      <c r="Q157" s="12"/>
      <c r="R157" s="11"/>
      <c r="S157" s="11"/>
      <c r="T157" s="11"/>
      <c r="U157" s="11"/>
      <c r="V157" s="12"/>
      <c r="W157" s="12"/>
      <c r="X157" s="12"/>
      <c r="Y157" s="12"/>
      <c r="Z157" s="12"/>
    </row>
    <row r="158" spans="1:26" ht="15.75" hidden="1" outlineLevel="1" x14ac:dyDescent="0.2">
      <c r="A158" s="8"/>
      <c r="B158" s="35"/>
      <c r="C158" s="123"/>
      <c r="D158" s="12"/>
      <c r="E158" s="15"/>
      <c r="F158" s="15"/>
      <c r="G158" s="15"/>
      <c r="H158" s="12"/>
      <c r="I158" s="12"/>
      <c r="J158" s="12"/>
      <c r="K158" s="12"/>
      <c r="L158" s="10"/>
      <c r="M158" s="12"/>
      <c r="N158" s="12"/>
      <c r="O158" s="12"/>
      <c r="P158" s="10"/>
      <c r="Q158" s="12"/>
      <c r="R158" s="11"/>
      <c r="S158" s="11"/>
      <c r="T158" s="11"/>
      <c r="U158" s="11"/>
      <c r="V158" s="12"/>
      <c r="W158" s="12"/>
      <c r="X158" s="12"/>
      <c r="Y158" s="12"/>
      <c r="Z158" s="12"/>
    </row>
    <row r="159" spans="1:26" ht="63.75" outlineLevel="1" x14ac:dyDescent="0.2">
      <c r="A159" s="119" t="s">
        <v>19</v>
      </c>
      <c r="B159" s="116" t="s">
        <v>326</v>
      </c>
      <c r="C159" s="19" t="s">
        <v>89</v>
      </c>
      <c r="D159" s="120" t="s">
        <v>552</v>
      </c>
      <c r="E159" s="121" t="s">
        <v>91</v>
      </c>
      <c r="F159" s="121">
        <v>5</v>
      </c>
      <c r="G159" s="121">
        <f>IF(E159="no", G146, IF(F159=F158, G158+1, 1))</f>
        <v>9</v>
      </c>
      <c r="H159" s="122" t="s">
        <v>553</v>
      </c>
      <c r="I159" s="120"/>
      <c r="J159" s="120"/>
      <c r="K159" s="120"/>
      <c r="L159" s="120" t="s">
        <v>554</v>
      </c>
      <c r="M159" s="120"/>
      <c r="N159" s="120"/>
      <c r="O159" s="120"/>
      <c r="P159" s="120"/>
      <c r="Q159" s="120"/>
      <c r="R159" s="120" t="str">
        <f t="shared" ref="R159:R170" si="23">IF(E159="no", H159, CONCATENATE(G159,". &lt;br&gt;",H159))</f>
        <v>Section 5: Outlet tech/ digital access &amp; use</v>
      </c>
      <c r="S159" s="120" t="s">
        <v>403</v>
      </c>
      <c r="T159" s="120"/>
      <c r="U159" s="120"/>
      <c r="V159" s="16"/>
      <c r="W159" s="16"/>
      <c r="X159" s="16"/>
      <c r="Y159" s="16"/>
      <c r="Z159" s="16"/>
    </row>
    <row r="160" spans="1:26" ht="89.25" hidden="1" outlineLevel="2" x14ac:dyDescent="0.2">
      <c r="A160" s="8"/>
      <c r="B160" s="49"/>
      <c r="C160" s="114" t="s">
        <v>76</v>
      </c>
      <c r="D160" s="10" t="s">
        <v>555</v>
      </c>
      <c r="E160" s="15" t="s">
        <v>91</v>
      </c>
      <c r="F160" s="15">
        <v>5</v>
      </c>
      <c r="G160" s="15">
        <f t="shared" ref="G160:G180" si="24">IF(E160="no", G159, IF(F160=F159, G159+1, 1))</f>
        <v>9</v>
      </c>
      <c r="H160" s="10" t="s">
        <v>556</v>
      </c>
      <c r="I160" s="10"/>
      <c r="J160" s="10"/>
      <c r="K160" s="10"/>
      <c r="L160" s="10"/>
      <c r="M160" s="10"/>
      <c r="N160" s="10"/>
      <c r="O160" s="10"/>
      <c r="P160" s="10"/>
      <c r="Q160" s="10"/>
      <c r="R160" s="11" t="str">
        <f t="shared" si="23"/>
        <v xml:space="preserve">&lt;br&gt;&lt;br&gt;&lt;h4&gt;Provider module section 5: Technology access and use&lt;/h4&gt;&lt;br&gt;
&lt;br&gt;&lt;font color="blue"&gt;&lt;i&gt;In this section we will ask about what technology you have at this outlet (for the business, not personally) </v>
      </c>
      <c r="S160" s="11" t="s">
        <v>557</v>
      </c>
      <c r="T160" s="11"/>
      <c r="U160" s="11"/>
      <c r="V160" s="12"/>
      <c r="W160" s="12"/>
      <c r="X160" s="12"/>
      <c r="Y160" s="12"/>
      <c r="Z160" s="12"/>
    </row>
    <row r="161" spans="1:26" ht="173.25" hidden="1" outlineLevel="2" x14ac:dyDescent="0.2">
      <c r="A161" s="57" t="s">
        <v>558</v>
      </c>
      <c r="B161" s="10"/>
      <c r="C161" s="114" t="s">
        <v>212</v>
      </c>
      <c r="D161" s="10" t="s">
        <v>559</v>
      </c>
      <c r="E161" s="15" t="s">
        <v>83</v>
      </c>
      <c r="F161" s="15">
        <v>5</v>
      </c>
      <c r="G161" s="15">
        <f t="shared" si="24"/>
        <v>10</v>
      </c>
      <c r="H161" s="10" t="s">
        <v>560</v>
      </c>
      <c r="I161" s="10"/>
      <c r="J161" s="10"/>
      <c r="K161" s="10"/>
      <c r="L161" s="10"/>
      <c r="M161" s="10"/>
      <c r="N161" s="10"/>
      <c r="O161" s="10"/>
      <c r="P161" s="10" t="s">
        <v>83</v>
      </c>
      <c r="Q161" s="10"/>
      <c r="R161" s="11" t="str">
        <f t="shared" si="23"/>
        <v xml:space="preserve">10. &lt;br&gt;&lt;br&gt;In the past 30 days, did this outlet/ business have  &lt;b&gt;running water&lt;/b&gt;? </v>
      </c>
      <c r="S161" s="11" t="s">
        <v>561</v>
      </c>
      <c r="T161" s="11"/>
      <c r="U161" s="11"/>
      <c r="V161" s="12"/>
      <c r="W161" s="12"/>
      <c r="X161" s="12"/>
      <c r="Y161" s="12"/>
      <c r="Z161" s="12"/>
    </row>
    <row r="162" spans="1:26" ht="25.5" hidden="1" outlineLevel="2" x14ac:dyDescent="0.2">
      <c r="A162" s="53"/>
      <c r="B162" s="10"/>
      <c r="C162" s="114" t="s">
        <v>562</v>
      </c>
      <c r="D162" s="10" t="s">
        <v>563</v>
      </c>
      <c r="E162" s="15" t="s">
        <v>83</v>
      </c>
      <c r="F162" s="15">
        <v>5</v>
      </c>
      <c r="G162" s="15">
        <f t="shared" si="24"/>
        <v>11</v>
      </c>
      <c r="H162" s="10" t="s">
        <v>564</v>
      </c>
      <c r="I162" s="10"/>
      <c r="J162" s="10"/>
      <c r="K162" s="10"/>
      <c r="L162" s="10"/>
      <c r="M162" s="10"/>
      <c r="N162" s="10"/>
      <c r="O162" s="10"/>
      <c r="P162" s="10" t="s">
        <v>83</v>
      </c>
      <c r="Q162" s="10"/>
      <c r="R162" s="11" t="str">
        <f t="shared" si="23"/>
        <v xml:space="preserve">11. &lt;br&gt;&lt;br&gt;In the past 30 days, did this outlet/ business have  &lt;b&gt;electricity&lt;/b&gt;? </v>
      </c>
      <c r="S162" s="11" t="s">
        <v>565</v>
      </c>
      <c r="T162" s="11"/>
      <c r="U162" s="11"/>
      <c r="V162" s="12"/>
      <c r="W162" s="12"/>
      <c r="X162" s="12"/>
      <c r="Y162" s="12"/>
      <c r="Z162" s="12"/>
    </row>
    <row r="163" spans="1:26" ht="38.25" hidden="1" outlineLevel="2" x14ac:dyDescent="0.2">
      <c r="A163" s="53"/>
      <c r="B163" s="10"/>
      <c r="C163" s="114" t="s">
        <v>562</v>
      </c>
      <c r="D163" s="10" t="s">
        <v>566</v>
      </c>
      <c r="E163" s="15" t="s">
        <v>83</v>
      </c>
      <c r="F163" s="15">
        <v>5</v>
      </c>
      <c r="G163" s="15">
        <f t="shared" si="24"/>
        <v>12</v>
      </c>
      <c r="H163" s="10" t="s">
        <v>567</v>
      </c>
      <c r="I163" s="10" t="s">
        <v>568</v>
      </c>
      <c r="J163" s="10"/>
      <c r="K163" s="10"/>
      <c r="L163" s="12"/>
      <c r="M163" s="10"/>
      <c r="N163" s="12"/>
      <c r="O163" s="10"/>
      <c r="P163" s="10" t="s">
        <v>83</v>
      </c>
      <c r="Q163" s="10"/>
      <c r="R163" s="11" t="str">
        <f t="shared" si="23"/>
        <v xml:space="preserve">12. &lt;br&gt;&lt;br&gt;In the past 30 days, did this outlet/ business have  &lt;b&gt;access to any phone&lt;/b&gt;? </v>
      </c>
      <c r="S163" s="11" t="s">
        <v>569</v>
      </c>
      <c r="T163" s="11" t="s">
        <v>570</v>
      </c>
      <c r="U163" s="11"/>
      <c r="V163" s="12"/>
      <c r="W163" s="12"/>
      <c r="X163" s="12"/>
      <c r="Y163" s="12"/>
      <c r="Z163" s="12"/>
    </row>
    <row r="164" spans="1:26" ht="38.25" hidden="1" outlineLevel="2" x14ac:dyDescent="0.2">
      <c r="A164" s="53"/>
      <c r="B164" s="38"/>
      <c r="C164" s="123" t="s">
        <v>571</v>
      </c>
      <c r="D164" s="12" t="s">
        <v>572</v>
      </c>
      <c r="E164" s="15" t="s">
        <v>83</v>
      </c>
      <c r="F164" s="15">
        <v>5</v>
      </c>
      <c r="G164" s="15">
        <f t="shared" si="24"/>
        <v>13</v>
      </c>
      <c r="H164" s="12" t="s">
        <v>573</v>
      </c>
      <c r="I164" s="10" t="s">
        <v>568</v>
      </c>
      <c r="J164" s="38"/>
      <c r="K164" s="38"/>
      <c r="L164" s="12" t="s">
        <v>574</v>
      </c>
      <c r="M164" s="38"/>
      <c r="N164" s="12"/>
      <c r="O164" s="38"/>
      <c r="P164" s="10" t="s">
        <v>83</v>
      </c>
      <c r="Q164" s="38"/>
      <c r="R164" s="11" t="str">
        <f t="shared" si="23"/>
        <v xml:space="preserve">13. &lt;br&gt;&lt;br&gt; What type of phone? </v>
      </c>
      <c r="S164" s="11" t="s">
        <v>575</v>
      </c>
      <c r="T164" s="11" t="s">
        <v>570</v>
      </c>
      <c r="U164" s="11"/>
      <c r="V164" s="38"/>
      <c r="W164" s="38"/>
      <c r="X164" s="38"/>
      <c r="Y164" s="38"/>
      <c r="Z164" s="38"/>
    </row>
    <row r="165" spans="1:26" ht="76.5" hidden="1" outlineLevel="2" x14ac:dyDescent="0.2">
      <c r="A165" s="53"/>
      <c r="B165" s="10"/>
      <c r="C165" s="123" t="s">
        <v>562</v>
      </c>
      <c r="D165" s="12" t="s">
        <v>576</v>
      </c>
      <c r="E165" s="15" t="s">
        <v>83</v>
      </c>
      <c r="F165" s="15">
        <v>5</v>
      </c>
      <c r="G165" s="15">
        <f t="shared" si="24"/>
        <v>14</v>
      </c>
      <c r="H165" s="12" t="s">
        <v>577</v>
      </c>
      <c r="I165" s="10" t="s">
        <v>568</v>
      </c>
      <c r="J165" s="10"/>
      <c r="K165" s="10"/>
      <c r="L165" s="12" t="s">
        <v>578</v>
      </c>
      <c r="M165" s="10"/>
      <c r="N165" s="12"/>
      <c r="O165" s="10"/>
      <c r="P165" s="10" t="s">
        <v>83</v>
      </c>
      <c r="Q165" s="10"/>
      <c r="R165" s="11" t="str">
        <f t="shared" si="23"/>
        <v>14. &lt;br&gt;&lt;br&gt;In the past 30 days, did this outlet/ business have &lt;b&gt;network for voice and SMS&lt;/b&gt;?</v>
      </c>
      <c r="S165" s="11" t="s">
        <v>579</v>
      </c>
      <c r="T165" s="11" t="s">
        <v>570</v>
      </c>
      <c r="U165" s="11"/>
      <c r="V165" s="12"/>
      <c r="W165" s="12"/>
      <c r="X165" s="12"/>
      <c r="Y165" s="12"/>
      <c r="Z165" s="12"/>
    </row>
    <row r="166" spans="1:26" ht="76.5" hidden="1" outlineLevel="2" x14ac:dyDescent="0.2">
      <c r="A166" s="53"/>
      <c r="B166" s="9" t="s">
        <v>580</v>
      </c>
      <c r="C166" s="123" t="s">
        <v>581</v>
      </c>
      <c r="D166" s="12" t="s">
        <v>582</v>
      </c>
      <c r="E166" s="15" t="s">
        <v>83</v>
      </c>
      <c r="F166" s="15">
        <v>5</v>
      </c>
      <c r="G166" s="15">
        <f t="shared" si="24"/>
        <v>15</v>
      </c>
      <c r="H166" s="12" t="s">
        <v>583</v>
      </c>
      <c r="I166" s="38"/>
      <c r="J166" s="38"/>
      <c r="K166" s="38"/>
      <c r="L166" s="12" t="s">
        <v>578</v>
      </c>
      <c r="M166" s="38"/>
      <c r="N166" s="12" t="s">
        <v>411</v>
      </c>
      <c r="O166" s="38"/>
      <c r="P166" s="10" t="s">
        <v>83</v>
      </c>
      <c r="Q166" s="38"/>
      <c r="R166" s="11" t="str">
        <f t="shared" si="23"/>
        <v>15. &lt;br&gt;&lt;br&gt; Select which of the following applications/ services you have used on this phone in the last 30 days:</v>
      </c>
      <c r="S166" s="11" t="s">
        <v>584</v>
      </c>
      <c r="T166" s="11"/>
      <c r="U166" s="11"/>
      <c r="V166" s="38"/>
      <c r="W166" s="38"/>
      <c r="X166" s="38"/>
      <c r="Y166" s="38"/>
      <c r="Z166" s="38"/>
    </row>
    <row r="167" spans="1:26" ht="38.25" hidden="1" outlineLevel="2" x14ac:dyDescent="0.2">
      <c r="A167" s="53"/>
      <c r="B167" s="10"/>
      <c r="C167" s="123" t="s">
        <v>562</v>
      </c>
      <c r="D167" s="12" t="s">
        <v>585</v>
      </c>
      <c r="E167" s="15" t="s">
        <v>83</v>
      </c>
      <c r="F167" s="15">
        <v>5</v>
      </c>
      <c r="G167" s="15">
        <f t="shared" si="24"/>
        <v>16</v>
      </c>
      <c r="H167" s="12" t="s">
        <v>586</v>
      </c>
      <c r="I167" s="10"/>
      <c r="J167" s="10"/>
      <c r="K167" s="10"/>
      <c r="L167" s="12"/>
      <c r="M167" s="10"/>
      <c r="N167" s="12"/>
      <c r="O167" s="10"/>
      <c r="P167" s="10" t="s">
        <v>83</v>
      </c>
      <c r="Q167" s="10"/>
      <c r="R167" s="11" t="str">
        <f t="shared" si="23"/>
        <v>16. &lt;br&gt;&lt;br&gt;In the past 30 days, did this outlet/ business have &lt;b&gt; internet connection (WiFi or fixed)&lt;/b&gt;?</v>
      </c>
      <c r="S167" s="11" t="s">
        <v>587</v>
      </c>
      <c r="T167" s="11"/>
      <c r="U167" s="11"/>
      <c r="V167" s="12"/>
      <c r="W167" s="12"/>
      <c r="X167" s="12"/>
      <c r="Y167" s="12"/>
      <c r="Z167" s="12"/>
    </row>
    <row r="168" spans="1:26" ht="38.25" hidden="1" outlineLevel="2" x14ac:dyDescent="0.2">
      <c r="A168" s="53"/>
      <c r="B168" s="9" t="s">
        <v>588</v>
      </c>
      <c r="C168" s="123" t="s">
        <v>589</v>
      </c>
      <c r="D168" s="12" t="s">
        <v>590</v>
      </c>
      <c r="E168" s="15" t="s">
        <v>83</v>
      </c>
      <c r="F168" s="15">
        <v>5</v>
      </c>
      <c r="G168" s="15">
        <f t="shared" si="24"/>
        <v>17</v>
      </c>
      <c r="H168" s="12" t="s">
        <v>591</v>
      </c>
      <c r="I168" s="38"/>
      <c r="J168" s="38"/>
      <c r="K168" s="38"/>
      <c r="L168" s="12" t="s">
        <v>592</v>
      </c>
      <c r="M168" s="38"/>
      <c r="N168" s="12"/>
      <c r="O168" s="38"/>
      <c r="P168" s="10" t="s">
        <v>83</v>
      </c>
      <c r="Q168" s="38"/>
      <c r="R168" s="11" t="str">
        <f t="shared" si="23"/>
        <v>17. &lt;br&gt;&lt;br&gt; What type of Internet connection do you use &lt;b&gt;most often&lt;/b&gt; to connect to the Internet?</v>
      </c>
      <c r="S168" s="11" t="s">
        <v>593</v>
      </c>
      <c r="T168" s="11"/>
      <c r="U168" s="11"/>
      <c r="V168" s="38"/>
      <c r="W168" s="38"/>
      <c r="X168" s="38"/>
      <c r="Y168" s="38"/>
      <c r="Z168" s="38"/>
    </row>
    <row r="169" spans="1:26" ht="38.25" hidden="1" outlineLevel="2" x14ac:dyDescent="0.2">
      <c r="A169" s="53"/>
      <c r="B169" s="10"/>
      <c r="C169" s="123" t="s">
        <v>562</v>
      </c>
      <c r="D169" s="12" t="s">
        <v>594</v>
      </c>
      <c r="E169" s="15" t="s">
        <v>83</v>
      </c>
      <c r="F169" s="15">
        <v>5</v>
      </c>
      <c r="G169" s="15">
        <f t="shared" si="24"/>
        <v>18</v>
      </c>
      <c r="H169" s="12" t="s">
        <v>595</v>
      </c>
      <c r="I169" s="10"/>
      <c r="J169" s="10"/>
      <c r="K169" s="10"/>
      <c r="L169" s="12" t="s">
        <v>166</v>
      </c>
      <c r="M169" s="10"/>
      <c r="N169" s="12"/>
      <c r="O169" s="10"/>
      <c r="P169" s="10" t="s">
        <v>83</v>
      </c>
      <c r="Q169" s="10"/>
      <c r="R169" s="11" t="str">
        <f t="shared" si="23"/>
        <v xml:space="preserve">18. &lt;br&gt;&lt;br&gt;In the past 30 days, did this outlet/ business have  &lt;b&gt;access to any tablets or computers&lt;/b&gt;? </v>
      </c>
      <c r="S169" s="11" t="s">
        <v>596</v>
      </c>
      <c r="T169" s="11"/>
      <c r="U169" s="11"/>
      <c r="V169" s="12"/>
      <c r="W169" s="12"/>
      <c r="X169" s="12"/>
      <c r="Y169" s="12"/>
      <c r="Z169" s="12"/>
    </row>
    <row r="170" spans="1:26" ht="38.25" hidden="1" outlineLevel="2" x14ac:dyDescent="0.2">
      <c r="A170" s="131"/>
      <c r="B170" s="38"/>
      <c r="C170" s="123" t="s">
        <v>597</v>
      </c>
      <c r="D170" s="12" t="s">
        <v>598</v>
      </c>
      <c r="E170" s="15" t="s">
        <v>83</v>
      </c>
      <c r="F170" s="15">
        <v>5</v>
      </c>
      <c r="G170" s="15">
        <f t="shared" si="24"/>
        <v>19</v>
      </c>
      <c r="H170" s="12" t="s">
        <v>599</v>
      </c>
      <c r="I170" s="38"/>
      <c r="J170" s="38"/>
      <c r="K170" s="38"/>
      <c r="L170" s="12" t="s">
        <v>600</v>
      </c>
      <c r="M170" s="38"/>
      <c r="N170" s="12"/>
      <c r="O170" s="38"/>
      <c r="P170" s="10" t="s">
        <v>83</v>
      </c>
      <c r="Q170" s="38"/>
      <c r="R170" s="11" t="str">
        <f t="shared" si="23"/>
        <v xml:space="preserve">19. &lt;br&gt;&lt;br&gt; What types of tablets or computers does this outlet/ business have? </v>
      </c>
      <c r="S170" s="11" t="s">
        <v>601</v>
      </c>
      <c r="T170" s="11"/>
      <c r="U170" s="11"/>
      <c r="V170" s="38"/>
      <c r="W170" s="38"/>
      <c r="X170" s="38"/>
      <c r="Y170" s="38"/>
      <c r="Z170" s="38"/>
    </row>
    <row r="171" spans="1:26" ht="15.75" outlineLevel="2" x14ac:dyDescent="0.2">
      <c r="A171" s="20"/>
      <c r="B171" s="10"/>
      <c r="C171" s="114" t="s">
        <v>89</v>
      </c>
      <c r="D171" s="10" t="s">
        <v>602</v>
      </c>
      <c r="E171" s="15" t="s">
        <v>91</v>
      </c>
      <c r="F171" s="15">
        <v>5</v>
      </c>
      <c r="G171" s="15">
        <f t="shared" si="24"/>
        <v>19</v>
      </c>
      <c r="H171" s="10"/>
      <c r="I171" s="10"/>
      <c r="J171" s="10"/>
      <c r="K171" s="10"/>
      <c r="L171" s="10" t="s">
        <v>166</v>
      </c>
      <c r="M171" s="10"/>
      <c r="N171" s="10" t="s">
        <v>199</v>
      </c>
      <c r="O171" s="10"/>
      <c r="P171" s="10"/>
      <c r="Q171" s="10"/>
      <c r="R171" s="11"/>
      <c r="S171" s="11"/>
      <c r="T171" s="11"/>
      <c r="U171" s="11"/>
      <c r="V171" s="12"/>
      <c r="W171" s="12"/>
      <c r="X171" s="12"/>
      <c r="Y171" s="12"/>
      <c r="Z171" s="12"/>
    </row>
    <row r="172" spans="1:26" ht="102" hidden="1" outlineLevel="2" x14ac:dyDescent="0.2">
      <c r="A172" s="28"/>
      <c r="B172" s="9" t="s">
        <v>603</v>
      </c>
      <c r="C172" s="114" t="s">
        <v>604</v>
      </c>
      <c r="D172" s="10" t="s">
        <v>605</v>
      </c>
      <c r="E172" s="15" t="s">
        <v>83</v>
      </c>
      <c r="F172" s="15">
        <v>5</v>
      </c>
      <c r="G172" s="15">
        <f t="shared" si="24"/>
        <v>20</v>
      </c>
      <c r="H172" s="10" t="s">
        <v>606</v>
      </c>
      <c r="I172" s="10" t="s">
        <v>607</v>
      </c>
      <c r="J172" s="10"/>
      <c r="K172" s="10"/>
      <c r="L172" s="10"/>
      <c r="M172" s="10"/>
      <c r="N172" s="10" t="s">
        <v>608</v>
      </c>
      <c r="O172" s="10"/>
      <c r="P172" s="10"/>
      <c r="Q172" s="10"/>
      <c r="R172" s="11" t="str">
        <f t="shared" ref="R172:R177" si="25">IF(E172="no", H172, CONCATENATE(G172,". &lt;br&gt;",H172))</f>
        <v>20. &lt;br&gt;&lt;br&gt; &lt;b&gt;For each of the following business activities, identify if you currently use digital technology, would like to digitize, or are not interested in digitizing the activity. &lt;/b&gt;
(Digital technology includes computers, tablets and smartphones with an internet connection)&lt;br&gt;</v>
      </c>
      <c r="S172" s="11" t="s">
        <v>609</v>
      </c>
      <c r="T172" s="11" t="s">
        <v>610</v>
      </c>
      <c r="U172" s="11"/>
      <c r="V172" s="12"/>
      <c r="W172" s="12"/>
      <c r="X172" s="12"/>
      <c r="Y172" s="12"/>
      <c r="Z172" s="12"/>
    </row>
    <row r="173" spans="1:26" ht="15.75" hidden="1" outlineLevel="2" x14ac:dyDescent="0.2">
      <c r="A173" s="20"/>
      <c r="B173" s="10"/>
      <c r="C173" s="114" t="s">
        <v>604</v>
      </c>
      <c r="D173" s="10" t="s">
        <v>611</v>
      </c>
      <c r="E173" s="15" t="s">
        <v>91</v>
      </c>
      <c r="F173" s="15">
        <v>5</v>
      </c>
      <c r="G173" s="15">
        <f t="shared" si="24"/>
        <v>20</v>
      </c>
      <c r="H173" s="10" t="s">
        <v>612</v>
      </c>
      <c r="I173" s="10"/>
      <c r="J173" s="10"/>
      <c r="K173" s="10"/>
      <c r="L173" s="10"/>
      <c r="M173" s="10"/>
      <c r="N173" s="10" t="s">
        <v>613</v>
      </c>
      <c r="O173" s="10"/>
      <c r="P173" s="10" t="s">
        <v>83</v>
      </c>
      <c r="Q173" s="10"/>
      <c r="R173" s="11" t="str">
        <f t="shared" si="25"/>
        <v>Managing sales</v>
      </c>
      <c r="S173" s="11" t="s">
        <v>614</v>
      </c>
      <c r="T173" s="11"/>
      <c r="U173" s="11"/>
      <c r="V173" s="12"/>
      <c r="W173" s="12"/>
      <c r="X173" s="12"/>
      <c r="Y173" s="12"/>
      <c r="Z173" s="12"/>
    </row>
    <row r="174" spans="1:26" ht="15.75" hidden="1" outlineLevel="2" x14ac:dyDescent="0.2">
      <c r="A174" s="20"/>
      <c r="B174" s="10"/>
      <c r="C174" s="114" t="s">
        <v>604</v>
      </c>
      <c r="D174" s="10" t="s">
        <v>615</v>
      </c>
      <c r="E174" s="15" t="s">
        <v>91</v>
      </c>
      <c r="F174" s="15">
        <v>5</v>
      </c>
      <c r="G174" s="15">
        <f t="shared" si="24"/>
        <v>20</v>
      </c>
      <c r="H174" s="10" t="s">
        <v>616</v>
      </c>
      <c r="I174" s="10"/>
      <c r="J174" s="10"/>
      <c r="K174" s="10"/>
      <c r="L174" s="10"/>
      <c r="M174" s="10"/>
      <c r="N174" s="10" t="s">
        <v>613</v>
      </c>
      <c r="O174" s="10"/>
      <c r="P174" s="10" t="s">
        <v>83</v>
      </c>
      <c r="Q174" s="10"/>
      <c r="R174" s="11" t="str">
        <f t="shared" si="25"/>
        <v>Managing stock</v>
      </c>
      <c r="S174" s="11" t="s">
        <v>617</v>
      </c>
      <c r="T174" s="11"/>
      <c r="U174" s="11"/>
      <c r="V174" s="12"/>
      <c r="W174" s="12"/>
      <c r="X174" s="12"/>
      <c r="Y174" s="12"/>
      <c r="Z174" s="12"/>
    </row>
    <row r="175" spans="1:26" ht="15.75" hidden="1" outlineLevel="2" x14ac:dyDescent="0.2">
      <c r="A175" s="20"/>
      <c r="B175" s="10"/>
      <c r="C175" s="114" t="s">
        <v>604</v>
      </c>
      <c r="D175" s="10" t="s">
        <v>618</v>
      </c>
      <c r="E175" s="15" t="s">
        <v>91</v>
      </c>
      <c r="F175" s="15">
        <v>5</v>
      </c>
      <c r="G175" s="15">
        <f t="shared" si="24"/>
        <v>20</v>
      </c>
      <c r="H175" s="10" t="s">
        <v>619</v>
      </c>
      <c r="I175" s="10"/>
      <c r="J175" s="10"/>
      <c r="K175" s="10"/>
      <c r="L175" s="10"/>
      <c r="M175" s="10"/>
      <c r="N175" s="10" t="s">
        <v>613</v>
      </c>
      <c r="O175" s="10"/>
      <c r="P175" s="10" t="s">
        <v>83</v>
      </c>
      <c r="Q175" s="10"/>
      <c r="R175" s="11" t="str">
        <f t="shared" si="25"/>
        <v>Placing orders with your suppliers</v>
      </c>
      <c r="S175" s="11" t="s">
        <v>620</v>
      </c>
      <c r="T175" s="11"/>
      <c r="U175" s="11"/>
      <c r="V175" s="12"/>
      <c r="W175" s="12"/>
      <c r="X175" s="12"/>
      <c r="Y175" s="12"/>
      <c r="Z175" s="12"/>
    </row>
    <row r="176" spans="1:26" ht="15.75" hidden="1" outlineLevel="2" x14ac:dyDescent="0.2">
      <c r="A176" s="20"/>
      <c r="B176" s="10"/>
      <c r="C176" s="114" t="s">
        <v>604</v>
      </c>
      <c r="D176" s="10" t="s">
        <v>621</v>
      </c>
      <c r="E176" s="15" t="s">
        <v>91</v>
      </c>
      <c r="F176" s="15">
        <v>5</v>
      </c>
      <c r="G176" s="15">
        <f t="shared" si="24"/>
        <v>20</v>
      </c>
      <c r="H176" s="10" t="s">
        <v>622</v>
      </c>
      <c r="I176" s="10"/>
      <c r="J176" s="10"/>
      <c r="K176" s="10"/>
      <c r="L176" s="10"/>
      <c r="M176" s="10"/>
      <c r="N176" s="10" t="s">
        <v>613</v>
      </c>
      <c r="O176" s="10"/>
      <c r="P176" s="10" t="s">
        <v>83</v>
      </c>
      <c r="Q176" s="10"/>
      <c r="R176" s="11" t="str">
        <f t="shared" si="25"/>
        <v>Paying your suppliers</v>
      </c>
      <c r="S176" s="11" t="s">
        <v>623</v>
      </c>
      <c r="T176" s="11"/>
      <c r="U176" s="11"/>
      <c r="V176" s="12"/>
      <c r="W176" s="12"/>
      <c r="X176" s="12"/>
      <c r="Y176" s="12"/>
      <c r="Z176" s="12"/>
    </row>
    <row r="177" spans="1:26" ht="25.5" hidden="1" outlineLevel="2" x14ac:dyDescent="0.2">
      <c r="A177" s="20"/>
      <c r="B177" s="10"/>
      <c r="C177" s="114" t="s">
        <v>604</v>
      </c>
      <c r="D177" s="10" t="s">
        <v>624</v>
      </c>
      <c r="E177" s="15" t="s">
        <v>91</v>
      </c>
      <c r="F177" s="15">
        <v>5</v>
      </c>
      <c r="G177" s="15">
        <f t="shared" si="24"/>
        <v>20</v>
      </c>
      <c r="H177" s="10" t="s">
        <v>625</v>
      </c>
      <c r="I177" s="10"/>
      <c r="J177" s="10"/>
      <c r="K177" s="10"/>
      <c r="L177" s="10"/>
      <c r="M177" s="10"/>
      <c r="N177" s="10" t="s">
        <v>613</v>
      </c>
      <c r="O177" s="10"/>
      <c r="P177" s="10" t="s">
        <v>83</v>
      </c>
      <c r="Q177" s="10"/>
      <c r="R177" s="11" t="str">
        <f t="shared" si="25"/>
        <v>Managing human resources (e.g. payroll, schedule)</v>
      </c>
      <c r="S177" s="11" t="s">
        <v>626</v>
      </c>
      <c r="T177" s="11"/>
      <c r="U177" s="11"/>
      <c r="V177" s="12"/>
      <c r="W177" s="12"/>
      <c r="X177" s="12"/>
      <c r="Y177" s="12"/>
      <c r="Z177" s="12"/>
    </row>
    <row r="178" spans="1:26" ht="15.75" hidden="1" outlineLevel="2" x14ac:dyDescent="0.2">
      <c r="A178" s="20"/>
      <c r="B178" s="12"/>
      <c r="C178" s="114" t="s">
        <v>174</v>
      </c>
      <c r="D178" s="10" t="s">
        <v>602</v>
      </c>
      <c r="E178" s="15" t="s">
        <v>91</v>
      </c>
      <c r="F178" s="15">
        <v>5</v>
      </c>
      <c r="G178" s="15">
        <f t="shared" si="24"/>
        <v>20</v>
      </c>
      <c r="H178" s="10"/>
      <c r="I178" s="10"/>
      <c r="J178" s="10"/>
      <c r="K178" s="10"/>
      <c r="L178" s="10"/>
      <c r="M178" s="10"/>
      <c r="N178" s="10"/>
      <c r="O178" s="10"/>
      <c r="P178" s="10"/>
      <c r="Q178" s="10"/>
      <c r="R178" s="11"/>
      <c r="S178" s="11"/>
      <c r="T178" s="11"/>
      <c r="U178" s="11"/>
      <c r="V178" s="12"/>
      <c r="W178" s="12"/>
      <c r="X178" s="12"/>
      <c r="Y178" s="12"/>
      <c r="Z178" s="12"/>
    </row>
    <row r="179" spans="1:26" ht="25.5" hidden="1" outlineLevel="2" x14ac:dyDescent="0.2">
      <c r="A179" s="28"/>
      <c r="B179" s="49"/>
      <c r="C179" s="114" t="s">
        <v>212</v>
      </c>
      <c r="D179" s="10" t="s">
        <v>627</v>
      </c>
      <c r="E179" s="15" t="s">
        <v>83</v>
      </c>
      <c r="F179" s="15">
        <v>5</v>
      </c>
      <c r="G179" s="15">
        <f t="shared" si="24"/>
        <v>21</v>
      </c>
      <c r="H179" s="10" t="s">
        <v>628</v>
      </c>
      <c r="I179" s="10"/>
      <c r="J179" s="10"/>
      <c r="K179" s="10"/>
      <c r="L179" s="10"/>
      <c r="M179" s="10"/>
      <c r="N179" s="10"/>
      <c r="O179" s="10"/>
      <c r="P179" s="10" t="s">
        <v>83</v>
      </c>
      <c r="Q179" s="10"/>
      <c r="R179" s="11" t="str">
        <f t="shared" ref="R179:R180" si="26">IF(E179="no", H179, CONCATENATE(G179,". &lt;br&gt;",H179))</f>
        <v>21. &lt;br&gt;&lt;br&gt;Do you carry out any other types of business activities using digital technology?&lt;br&gt;</v>
      </c>
      <c r="S179" s="11" t="s">
        <v>629</v>
      </c>
      <c r="T179" s="11"/>
      <c r="U179" s="11"/>
      <c r="V179" s="12"/>
      <c r="W179" s="12"/>
      <c r="X179" s="12"/>
      <c r="Y179" s="12"/>
      <c r="Z179" s="12"/>
    </row>
    <row r="180" spans="1:26" ht="15.75" hidden="1" outlineLevel="2" x14ac:dyDescent="0.2">
      <c r="A180" s="20"/>
      <c r="B180" s="10"/>
      <c r="C180" s="114" t="s">
        <v>144</v>
      </c>
      <c r="D180" s="10" t="s">
        <v>630</v>
      </c>
      <c r="E180" s="15" t="s">
        <v>83</v>
      </c>
      <c r="F180" s="15">
        <v>5</v>
      </c>
      <c r="G180" s="15">
        <f t="shared" si="24"/>
        <v>22</v>
      </c>
      <c r="H180" s="10" t="s">
        <v>631</v>
      </c>
      <c r="I180" s="10"/>
      <c r="J180" s="10"/>
      <c r="K180" s="10"/>
      <c r="L180" s="10" t="s">
        <v>632</v>
      </c>
      <c r="M180" s="10"/>
      <c r="N180" s="10"/>
      <c r="O180" s="10"/>
      <c r="P180" s="10" t="s">
        <v>83</v>
      </c>
      <c r="Q180" s="10"/>
      <c r="R180" s="11" t="str">
        <f t="shared" si="26"/>
        <v>22. &lt;br&gt;Specify other activities:</v>
      </c>
      <c r="S180" s="11" t="s">
        <v>633</v>
      </c>
      <c r="T180" s="11"/>
      <c r="U180" s="11"/>
      <c r="V180" s="12"/>
      <c r="W180" s="12"/>
      <c r="X180" s="12"/>
      <c r="Y180" s="12"/>
      <c r="Z180" s="12"/>
    </row>
    <row r="181" spans="1:26" ht="15.75" hidden="1" outlineLevel="2" x14ac:dyDescent="0.2">
      <c r="A181" s="8"/>
      <c r="B181" s="10"/>
      <c r="C181" s="19" t="s">
        <v>174</v>
      </c>
      <c r="D181" s="120" t="s">
        <v>552</v>
      </c>
      <c r="E181" s="121"/>
      <c r="F181" s="121">
        <v>5</v>
      </c>
      <c r="G181" s="121"/>
      <c r="H181" s="122"/>
      <c r="I181" s="120"/>
      <c r="J181" s="120"/>
      <c r="K181" s="120"/>
      <c r="L181" s="120"/>
      <c r="M181" s="120"/>
      <c r="N181" s="120"/>
      <c r="O181" s="120"/>
      <c r="P181" s="120"/>
      <c r="Q181" s="120"/>
      <c r="R181" s="120"/>
      <c r="S181" s="120"/>
      <c r="T181" s="120"/>
      <c r="U181" s="120"/>
      <c r="V181" s="16"/>
      <c r="W181" s="16"/>
      <c r="X181" s="16"/>
      <c r="Y181" s="16"/>
      <c r="Z181" s="16"/>
    </row>
    <row r="182" spans="1:26" ht="114.75" hidden="1" outlineLevel="1" x14ac:dyDescent="0.2">
      <c r="A182" s="9" t="s">
        <v>175</v>
      </c>
      <c r="B182" s="9" t="s">
        <v>431</v>
      </c>
      <c r="C182" s="123" t="s">
        <v>182</v>
      </c>
      <c r="D182" s="12" t="s">
        <v>634</v>
      </c>
      <c r="E182" s="15"/>
      <c r="F182" s="15">
        <v>5</v>
      </c>
      <c r="G182" s="15" t="s">
        <v>635</v>
      </c>
      <c r="H182" s="12" t="s">
        <v>636</v>
      </c>
      <c r="I182" s="12"/>
      <c r="J182" s="12"/>
      <c r="K182" s="12"/>
      <c r="L182" s="120" t="s">
        <v>554</v>
      </c>
      <c r="M182" s="12"/>
      <c r="N182" s="12"/>
      <c r="O182" s="12"/>
      <c r="P182" s="10" t="s">
        <v>83</v>
      </c>
      <c r="Q182" s="12">
        <v>1</v>
      </c>
      <c r="R182" s="11" t="str">
        <f>IF(E182="no", H182, CONCATENATE(G182,". &lt;br&gt;",H182))</f>
        <v>End of section 5 of X. &lt;br&gt;&lt;font color="green"&gt;CHECKPOINT 5&lt;br&gt;&lt;br&gt;&lt;b&gt;INTERVIEWER&lt;/b&gt;&lt;br&gt;Are you able to continue the interview, that is, this interview &lt;b&gt;has not&lt;/b&gt; been interrupted?&lt;/font&gt;</v>
      </c>
      <c r="S182" s="11" t="s">
        <v>551</v>
      </c>
      <c r="T182" s="11"/>
      <c r="U182" s="11"/>
      <c r="V182" s="12"/>
      <c r="W182" s="12"/>
      <c r="X182" s="12"/>
      <c r="Y182" s="12"/>
      <c r="Z182" s="12"/>
    </row>
    <row r="183" spans="1:26" ht="15.75" hidden="1" outlineLevel="1" x14ac:dyDescent="0.2">
      <c r="A183" s="20"/>
      <c r="B183" s="10"/>
      <c r="C183" s="114"/>
      <c r="D183" s="10"/>
      <c r="E183" s="15"/>
      <c r="F183" s="15"/>
      <c r="G183" s="15"/>
      <c r="H183" s="10"/>
      <c r="I183" s="10"/>
      <c r="J183" s="10"/>
      <c r="K183" s="10"/>
      <c r="L183" s="10"/>
      <c r="M183" s="10"/>
      <c r="N183" s="10"/>
      <c r="O183" s="10"/>
      <c r="P183" s="10"/>
      <c r="Q183" s="10"/>
      <c r="R183" s="11"/>
      <c r="S183" s="11"/>
      <c r="T183" s="11"/>
      <c r="U183" s="11"/>
      <c r="V183" s="12"/>
      <c r="W183" s="12"/>
      <c r="X183" s="12"/>
      <c r="Y183" s="12"/>
      <c r="Z183" s="12"/>
    </row>
    <row r="184" spans="1:26" ht="15.75" hidden="1" outlineLevel="1" x14ac:dyDescent="0.2">
      <c r="A184" s="8"/>
      <c r="B184" s="35"/>
      <c r="C184" s="123"/>
      <c r="D184" s="12"/>
      <c r="E184" s="15"/>
      <c r="F184" s="15"/>
      <c r="G184" s="15"/>
      <c r="H184" s="12"/>
      <c r="I184" s="12"/>
      <c r="J184" s="12"/>
      <c r="K184" s="12"/>
      <c r="L184" s="10"/>
      <c r="M184" s="12"/>
      <c r="N184" s="12"/>
      <c r="O184" s="12"/>
      <c r="P184" s="10"/>
      <c r="Q184" s="12"/>
      <c r="R184" s="11"/>
      <c r="S184" s="11"/>
      <c r="T184" s="11"/>
      <c r="U184" s="11"/>
      <c r="V184" s="12"/>
      <c r="W184" s="12"/>
      <c r="X184" s="12"/>
      <c r="Y184" s="12"/>
      <c r="Z184" s="12"/>
    </row>
    <row r="185" spans="1:26" ht="15.75" hidden="1" outlineLevel="1" x14ac:dyDescent="0.2">
      <c r="A185" s="8"/>
      <c r="B185" s="35"/>
      <c r="C185" s="123"/>
      <c r="D185" s="12"/>
      <c r="E185" s="15"/>
      <c r="F185" s="15"/>
      <c r="G185" s="15"/>
      <c r="H185" s="12"/>
      <c r="I185" s="12"/>
      <c r="J185" s="12"/>
      <c r="K185" s="12"/>
      <c r="L185" s="10"/>
      <c r="M185" s="12"/>
      <c r="N185" s="12"/>
      <c r="O185" s="12"/>
      <c r="P185" s="10"/>
      <c r="Q185" s="12"/>
      <c r="R185" s="11"/>
      <c r="S185" s="11"/>
      <c r="T185" s="11"/>
      <c r="U185" s="11"/>
      <c r="V185" s="12"/>
      <c r="W185" s="12"/>
      <c r="X185" s="12"/>
      <c r="Y185" s="12"/>
      <c r="Z185" s="12"/>
    </row>
    <row r="186" spans="1:26" ht="15.75" hidden="1" outlineLevel="1" x14ac:dyDescent="0.2">
      <c r="A186" s="8"/>
      <c r="B186" s="35"/>
      <c r="C186" s="123"/>
      <c r="D186" s="12"/>
      <c r="E186" s="15"/>
      <c r="F186" s="15"/>
      <c r="G186" s="15"/>
      <c r="H186" s="12"/>
      <c r="I186" s="12"/>
      <c r="J186" s="12"/>
      <c r="K186" s="12"/>
      <c r="L186" s="10"/>
      <c r="M186" s="12"/>
      <c r="N186" s="12"/>
      <c r="O186" s="12"/>
      <c r="P186" s="10"/>
      <c r="Q186" s="12"/>
      <c r="R186" s="11"/>
      <c r="S186" s="11"/>
      <c r="T186" s="11"/>
      <c r="U186" s="11"/>
      <c r="V186" s="12"/>
      <c r="W186" s="12"/>
      <c r="X186" s="12"/>
      <c r="Y186" s="12"/>
      <c r="Z186" s="12"/>
    </row>
    <row r="187" spans="1:26" ht="15.75" hidden="1" outlineLevel="1" x14ac:dyDescent="0.2">
      <c r="A187" s="8"/>
      <c r="B187" s="35"/>
      <c r="C187" s="123"/>
      <c r="D187" s="12"/>
      <c r="E187" s="15"/>
      <c r="F187" s="15"/>
      <c r="G187" s="15"/>
      <c r="H187" s="12"/>
      <c r="I187" s="12"/>
      <c r="J187" s="12"/>
      <c r="K187" s="12"/>
      <c r="L187" s="10"/>
      <c r="M187" s="12"/>
      <c r="N187" s="12"/>
      <c r="O187" s="12"/>
      <c r="P187" s="10"/>
      <c r="Q187" s="12"/>
      <c r="R187" s="11"/>
      <c r="S187" s="11"/>
      <c r="T187" s="11"/>
      <c r="U187" s="11"/>
      <c r="V187" s="12"/>
      <c r="W187" s="12"/>
      <c r="X187" s="12"/>
      <c r="Y187" s="12"/>
      <c r="Z187" s="12"/>
    </row>
    <row r="188" spans="1:26" ht="63.75" outlineLevel="1" x14ac:dyDescent="0.2">
      <c r="A188" s="119" t="s">
        <v>21</v>
      </c>
      <c r="B188" s="116" t="s">
        <v>326</v>
      </c>
      <c r="C188" s="19" t="s">
        <v>89</v>
      </c>
      <c r="D188" s="120" t="s">
        <v>637</v>
      </c>
      <c r="E188" s="121" t="s">
        <v>91</v>
      </c>
      <c r="F188" s="121">
        <v>6</v>
      </c>
      <c r="G188" s="121">
        <f t="shared" ref="G188:G193" si="27">IF(E188="no", G187, IF(F188=F187, G187+1, 1))</f>
        <v>0</v>
      </c>
      <c r="H188" s="122" t="s">
        <v>638</v>
      </c>
      <c r="I188" s="120"/>
      <c r="J188" s="120"/>
      <c r="K188" s="120"/>
      <c r="L188" s="120" t="s">
        <v>639</v>
      </c>
      <c r="M188" s="120"/>
      <c r="N188" s="120"/>
      <c r="O188" s="120"/>
      <c r="P188" s="120"/>
      <c r="Q188" s="120"/>
      <c r="R188" s="120" t="str">
        <f t="shared" ref="R188:R192" si="28">IF(E188="no", H188, CONCATENATE(G188,". &lt;br&gt;",H188))</f>
        <v>Section 6: Outlet participation in monitoring</v>
      </c>
      <c r="S188" s="120" t="s">
        <v>403</v>
      </c>
      <c r="T188" s="120"/>
      <c r="U188" s="120"/>
      <c r="V188" s="16"/>
      <c r="W188" s="16"/>
      <c r="X188" s="16"/>
      <c r="Y188" s="16"/>
      <c r="Z188" s="16"/>
    </row>
    <row r="189" spans="1:26" ht="140.25" hidden="1" outlineLevel="2" x14ac:dyDescent="0.2">
      <c r="A189" s="20"/>
      <c r="B189" s="10"/>
      <c r="C189" s="114" t="s">
        <v>76</v>
      </c>
      <c r="D189" s="10" t="s">
        <v>640</v>
      </c>
      <c r="E189" s="15" t="s">
        <v>91</v>
      </c>
      <c r="F189" s="15">
        <v>6</v>
      </c>
      <c r="G189" s="15">
        <f t="shared" si="27"/>
        <v>0</v>
      </c>
      <c r="H189" s="10" t="s">
        <v>641</v>
      </c>
      <c r="I189" s="10"/>
      <c r="J189" s="10"/>
      <c r="K189" s="10"/>
      <c r="L189" s="10"/>
      <c r="M189" s="10"/>
      <c r="N189" s="10"/>
      <c r="O189" s="10"/>
      <c r="P189" s="10"/>
      <c r="Q189" s="10"/>
      <c r="R189" s="11" t="str">
        <f t="shared" si="28"/>
        <v>&lt;br&gt;&lt;br&gt;&lt;h4&gt;Provider module section 6: outlet participation in monitoring&lt;/h4&gt;&lt;br&gt;
&lt;font color="blue"&gt;
&lt;b&gt;Interviewer:&lt;/b&gt; &lt;i&gt;If available, complete this section by addressing the person responsible for data management at this outlet/ business, such as the head nurse, general nurse, pharmacy manager, or owner.&lt;/i&gt;
&lt;/font&gt;</v>
      </c>
      <c r="S189" s="11" t="s">
        <v>642</v>
      </c>
      <c r="T189" s="11"/>
      <c r="U189" s="11"/>
      <c r="V189" s="12"/>
      <c r="W189" s="12"/>
      <c r="X189" s="12"/>
      <c r="Y189" s="12"/>
      <c r="Z189" s="12"/>
    </row>
    <row r="190" spans="1:26" ht="47.25" hidden="1" outlineLevel="2" x14ac:dyDescent="0.2">
      <c r="A190" s="48" t="s">
        <v>643</v>
      </c>
      <c r="B190" s="10"/>
      <c r="C190" s="114" t="s">
        <v>212</v>
      </c>
      <c r="D190" s="10" t="s">
        <v>644</v>
      </c>
      <c r="E190" s="15" t="s">
        <v>83</v>
      </c>
      <c r="F190" s="15">
        <v>6</v>
      </c>
      <c r="G190" s="15">
        <f t="shared" si="27"/>
        <v>1</v>
      </c>
      <c r="H190" s="10" t="s">
        <v>645</v>
      </c>
      <c r="I190" s="12" t="s">
        <v>646</v>
      </c>
      <c r="J190" s="10"/>
      <c r="K190" s="10"/>
      <c r="L190" s="10"/>
      <c r="M190" s="10"/>
      <c r="N190" s="10"/>
      <c r="O190" s="10"/>
      <c r="P190" s="10" t="s">
        <v>83</v>
      </c>
      <c r="Q190" s="10"/>
      <c r="R190" s="11" t="str">
        <f t="shared" si="28"/>
        <v>1. &lt;br&gt;&lt;br&gt; Do you report malaria case data each month?</v>
      </c>
      <c r="S190" s="11" t="s">
        <v>647</v>
      </c>
      <c r="T190" s="11" t="s">
        <v>648</v>
      </c>
      <c r="U190" s="11"/>
      <c r="V190" s="12"/>
      <c r="W190" s="12"/>
      <c r="X190" s="12"/>
      <c r="Y190" s="12"/>
      <c r="Z190" s="12"/>
    </row>
    <row r="191" spans="1:26" ht="157.5" hidden="1" outlineLevel="2" x14ac:dyDescent="0.2">
      <c r="A191" s="48" t="s">
        <v>649</v>
      </c>
      <c r="B191" s="9" t="s">
        <v>650</v>
      </c>
      <c r="C191" s="114" t="s">
        <v>651</v>
      </c>
      <c r="D191" s="10" t="s">
        <v>652</v>
      </c>
      <c r="E191" s="15" t="s">
        <v>83</v>
      </c>
      <c r="F191" s="15">
        <v>6</v>
      </c>
      <c r="G191" s="15">
        <f t="shared" si="27"/>
        <v>2</v>
      </c>
      <c r="H191" s="10" t="s">
        <v>653</v>
      </c>
      <c r="I191" s="10" t="s">
        <v>654</v>
      </c>
      <c r="J191" s="58" t="s">
        <v>655</v>
      </c>
      <c r="K191" s="10" t="s">
        <v>656</v>
      </c>
      <c r="L191" s="10" t="s">
        <v>657</v>
      </c>
      <c r="M191" s="10"/>
      <c r="N191" s="10" t="s">
        <v>658</v>
      </c>
      <c r="O191" s="10"/>
      <c r="P191" s="10" t="s">
        <v>83</v>
      </c>
      <c r="Q191" s="10"/>
      <c r="R191" s="11" t="str">
        <f t="shared" si="28"/>
        <v>2. &lt;br&gt;&lt;br&gt; What forms and tools do you use to &lt;b&gt;report&lt;/b&gt; malaria-related data to higher levels of the health system?</v>
      </c>
      <c r="S191" s="11" t="s">
        <v>659</v>
      </c>
      <c r="T191" s="11" t="s">
        <v>660</v>
      </c>
      <c r="U191" s="11" t="s">
        <v>661</v>
      </c>
      <c r="V191" s="12"/>
      <c r="W191" s="12"/>
      <c r="X191" s="12"/>
      <c r="Y191" s="12"/>
      <c r="Z191" s="12"/>
    </row>
    <row r="192" spans="1:26" ht="25.5" hidden="1" outlineLevel="2" x14ac:dyDescent="0.2">
      <c r="A192" s="20"/>
      <c r="B192" s="38"/>
      <c r="C192" s="114" t="s">
        <v>144</v>
      </c>
      <c r="D192" s="10" t="s">
        <v>662</v>
      </c>
      <c r="E192" s="15" t="s">
        <v>91</v>
      </c>
      <c r="F192" s="15">
        <v>6</v>
      </c>
      <c r="G192" s="15">
        <f t="shared" si="27"/>
        <v>2</v>
      </c>
      <c r="H192" s="10" t="s">
        <v>663</v>
      </c>
      <c r="I192" s="10"/>
      <c r="J192" s="10"/>
      <c r="K192" s="10"/>
      <c r="L192" s="10" t="s">
        <v>664</v>
      </c>
      <c r="M192" s="10"/>
      <c r="N192" s="10"/>
      <c r="O192" s="10"/>
      <c r="P192" s="10" t="s">
        <v>83</v>
      </c>
      <c r="Q192" s="10"/>
      <c r="R192" s="11" t="str">
        <f t="shared" si="28"/>
        <v>Other forms and tools used to report data:</v>
      </c>
      <c r="S192" s="11" t="s">
        <v>665</v>
      </c>
      <c r="T192" s="11"/>
      <c r="U192" s="11"/>
      <c r="V192" s="12"/>
      <c r="W192" s="12"/>
      <c r="X192" s="12"/>
      <c r="Y192" s="12"/>
      <c r="Z192" s="12"/>
    </row>
    <row r="193" spans="1:26" ht="15.75" hidden="1" outlineLevel="2" x14ac:dyDescent="0.2">
      <c r="A193" s="8"/>
      <c r="B193" s="10"/>
      <c r="C193" s="19" t="s">
        <v>174</v>
      </c>
      <c r="D193" s="120" t="s">
        <v>637</v>
      </c>
      <c r="E193" s="121" t="s">
        <v>91</v>
      </c>
      <c r="F193" s="121">
        <v>6</v>
      </c>
      <c r="G193" s="121">
        <f t="shared" si="27"/>
        <v>2</v>
      </c>
      <c r="H193" s="122"/>
      <c r="I193" s="120"/>
      <c r="J193" s="120"/>
      <c r="K193" s="120"/>
      <c r="L193" s="120"/>
      <c r="M193" s="120"/>
      <c r="N193" s="120"/>
      <c r="O193" s="120"/>
      <c r="P193" s="120"/>
      <c r="Q193" s="120"/>
      <c r="R193" s="120"/>
      <c r="S193" s="120"/>
      <c r="T193" s="120"/>
      <c r="U193" s="120"/>
      <c r="V193" s="16"/>
      <c r="W193" s="16"/>
      <c r="X193" s="16"/>
      <c r="Y193" s="16"/>
      <c r="Z193" s="16"/>
    </row>
    <row r="194" spans="1:26" ht="114.75" hidden="1" outlineLevel="1" collapsed="1" x14ac:dyDescent="0.2">
      <c r="A194" s="9" t="s">
        <v>175</v>
      </c>
      <c r="B194" s="9" t="s">
        <v>431</v>
      </c>
      <c r="C194" s="123" t="s">
        <v>182</v>
      </c>
      <c r="D194" s="12" t="s">
        <v>666</v>
      </c>
      <c r="E194" s="15"/>
      <c r="F194" s="15">
        <v>6</v>
      </c>
      <c r="G194" s="15" t="s">
        <v>667</v>
      </c>
      <c r="H194" s="12" t="s">
        <v>668</v>
      </c>
      <c r="I194" s="12"/>
      <c r="J194" s="12"/>
      <c r="K194" s="12"/>
      <c r="L194" s="120" t="s">
        <v>639</v>
      </c>
      <c r="M194" s="12"/>
      <c r="N194" s="12"/>
      <c r="O194" s="12"/>
      <c r="P194" s="10" t="s">
        <v>83</v>
      </c>
      <c r="Q194" s="12">
        <v>1</v>
      </c>
      <c r="R194" s="11" t="str">
        <f>IF(E194="no", H194, CONCATENATE(G194,". &lt;br&gt;",H194))</f>
        <v>End of section 6 of X. &lt;br&gt;&lt;font color="green"&gt;CHECKPOINT 6&lt;br&gt;&lt;br&gt;&lt;b&gt;INTERVIEWER&lt;/b&gt;&lt;br&gt;Are you able to continue the interview, that is, this interview &lt;b&gt;has not&lt;/b&gt; been interrupted?&lt;/font&gt;</v>
      </c>
      <c r="S194" s="11" t="s">
        <v>551</v>
      </c>
      <c r="T194" s="11"/>
      <c r="U194" s="11"/>
      <c r="V194" s="12"/>
      <c r="W194" s="12"/>
      <c r="X194" s="12"/>
      <c r="Y194" s="12"/>
      <c r="Z194" s="12"/>
    </row>
    <row r="195" spans="1:26" ht="15.75" hidden="1" outlineLevel="1" x14ac:dyDescent="0.2">
      <c r="A195" s="8"/>
      <c r="B195" s="37"/>
      <c r="C195" s="123"/>
      <c r="D195" s="12"/>
      <c r="E195" s="15"/>
      <c r="F195" s="15"/>
      <c r="G195" s="15"/>
      <c r="H195" s="12"/>
      <c r="I195" s="12"/>
      <c r="J195" s="12"/>
      <c r="K195" s="12"/>
      <c r="L195" s="10"/>
      <c r="M195" s="12"/>
      <c r="N195" s="12"/>
      <c r="O195" s="12"/>
      <c r="P195" s="10"/>
      <c r="Q195" s="12"/>
      <c r="R195" s="11"/>
      <c r="S195" s="11"/>
      <c r="T195" s="11"/>
      <c r="U195" s="11"/>
      <c r="V195" s="12"/>
      <c r="W195" s="12"/>
      <c r="X195" s="12"/>
      <c r="Y195" s="12"/>
      <c r="Z195" s="12"/>
    </row>
    <row r="196" spans="1:26" ht="15.75" hidden="1" outlineLevel="1" x14ac:dyDescent="0.2">
      <c r="A196" s="8"/>
      <c r="B196" s="37"/>
      <c r="C196" s="123"/>
      <c r="D196" s="12"/>
      <c r="E196" s="15"/>
      <c r="F196" s="15"/>
      <c r="G196" s="15"/>
      <c r="H196" s="12"/>
      <c r="I196" s="12"/>
      <c r="J196" s="12"/>
      <c r="K196" s="12"/>
      <c r="L196" s="10"/>
      <c r="M196" s="12"/>
      <c r="N196" s="12"/>
      <c r="O196" s="12"/>
      <c r="P196" s="10"/>
      <c r="Q196" s="12"/>
      <c r="R196" s="11"/>
      <c r="S196" s="11"/>
      <c r="T196" s="11"/>
      <c r="U196" s="11"/>
      <c r="V196" s="12"/>
      <c r="W196" s="12"/>
      <c r="X196" s="12"/>
      <c r="Y196" s="12"/>
      <c r="Z196" s="12"/>
    </row>
    <row r="197" spans="1:26" ht="15.75" hidden="1" outlineLevel="1" x14ac:dyDescent="0.2">
      <c r="A197" s="8"/>
      <c r="B197" s="37"/>
      <c r="C197" s="123"/>
      <c r="D197" s="12"/>
      <c r="E197" s="15"/>
      <c r="F197" s="15"/>
      <c r="G197" s="15"/>
      <c r="H197" s="12"/>
      <c r="I197" s="12"/>
      <c r="J197" s="12"/>
      <c r="K197" s="12"/>
      <c r="L197" s="10"/>
      <c r="M197" s="12"/>
      <c r="N197" s="12"/>
      <c r="O197" s="12"/>
      <c r="P197" s="10"/>
      <c r="Q197" s="12"/>
      <c r="R197" s="11"/>
      <c r="S197" s="11"/>
      <c r="T197" s="11"/>
      <c r="U197" s="11"/>
      <c r="V197" s="12"/>
      <c r="W197" s="12"/>
      <c r="X197" s="12"/>
      <c r="Y197" s="12"/>
      <c r="Z197" s="12"/>
    </row>
    <row r="198" spans="1:26" ht="15.75" hidden="1" outlineLevel="1" x14ac:dyDescent="0.2">
      <c r="A198" s="8"/>
      <c r="B198" s="37"/>
      <c r="C198" s="123"/>
      <c r="D198" s="12"/>
      <c r="E198" s="15"/>
      <c r="F198" s="15"/>
      <c r="G198" s="15"/>
      <c r="H198" s="12"/>
      <c r="I198" s="12"/>
      <c r="J198" s="12"/>
      <c r="K198" s="12"/>
      <c r="L198" s="10"/>
      <c r="M198" s="12"/>
      <c r="N198" s="12"/>
      <c r="O198" s="12"/>
      <c r="P198" s="10"/>
      <c r="Q198" s="12"/>
      <c r="R198" s="11"/>
      <c r="S198" s="11"/>
      <c r="T198" s="11"/>
      <c r="U198" s="11"/>
      <c r="V198" s="12"/>
      <c r="W198" s="12"/>
      <c r="X198" s="12"/>
      <c r="Y198" s="12"/>
      <c r="Z198" s="12"/>
    </row>
    <row r="199" spans="1:26" ht="63.75" outlineLevel="1" x14ac:dyDescent="0.2">
      <c r="A199" s="119" t="s">
        <v>23</v>
      </c>
      <c r="B199" s="116" t="s">
        <v>326</v>
      </c>
      <c r="C199" s="19" t="s">
        <v>89</v>
      </c>
      <c r="D199" s="120" t="s">
        <v>669</v>
      </c>
      <c r="E199" s="121" t="s">
        <v>91</v>
      </c>
      <c r="F199" s="121">
        <v>7</v>
      </c>
      <c r="G199" s="121">
        <f t="shared" ref="G199:G241" si="29">IF(E199="no", G198, IF(F199=F198, G198+1, 1))</f>
        <v>0</v>
      </c>
      <c r="H199" s="122" t="s">
        <v>670</v>
      </c>
      <c r="I199" s="120"/>
      <c r="J199" s="120"/>
      <c r="K199" s="120"/>
      <c r="L199" s="120" t="s">
        <v>671</v>
      </c>
      <c r="M199" s="120"/>
      <c r="N199" s="120"/>
      <c r="O199" s="120"/>
      <c r="P199" s="120"/>
      <c r="Q199" s="120"/>
      <c r="R199" s="120" t="str">
        <f t="shared" ref="R199:R203" si="30">IF(E199="no", H199, CONCATENATE(G199,". &lt;br&gt;",H199))</f>
        <v>Section 7: Business practices</v>
      </c>
      <c r="S199" s="120" t="s">
        <v>403</v>
      </c>
      <c r="T199" s="120"/>
      <c r="U199" s="120"/>
      <c r="V199" s="16"/>
      <c r="W199" s="16"/>
      <c r="X199" s="16"/>
      <c r="Y199" s="16"/>
      <c r="Z199" s="16"/>
    </row>
    <row r="200" spans="1:26" ht="114.75" hidden="1" outlineLevel="2" x14ac:dyDescent="0.2">
      <c r="A200" s="8"/>
      <c r="B200" s="12"/>
      <c r="C200" s="114" t="s">
        <v>76</v>
      </c>
      <c r="D200" s="10" t="s">
        <v>672</v>
      </c>
      <c r="E200" s="15" t="s">
        <v>91</v>
      </c>
      <c r="F200" s="15" t="s">
        <v>673</v>
      </c>
      <c r="G200" s="15">
        <f t="shared" si="29"/>
        <v>0</v>
      </c>
      <c r="H200" s="10" t="s">
        <v>674</v>
      </c>
      <c r="I200" s="10"/>
      <c r="J200" s="10"/>
      <c r="K200" s="10"/>
      <c r="L200" s="10"/>
      <c r="M200" s="10"/>
      <c r="N200" s="10"/>
      <c r="O200" s="10"/>
      <c r="P200" s="10"/>
      <c r="Q200" s="10"/>
      <c r="R200" s="11" t="str">
        <f t="shared" si="30"/>
        <v xml:space="preserve">&lt;h4&gt;Business practices &amp; customers&lt;/h4&gt;
&lt;br&gt;&lt;font color="blue"&gt;
&lt;b&gt;Interviewer: &lt;/b&gt;&lt;br&gt;
&lt;br&gt; We want to get a picture of how this outlet/ business fits within the supply chain of antimalarials. To do this, I will now ask some questions about both your customers and suppliers and other business practices. </v>
      </c>
      <c r="S200" s="11" t="s">
        <v>675</v>
      </c>
      <c r="T200" s="11"/>
      <c r="U200" s="11"/>
      <c r="V200" s="12"/>
      <c r="W200" s="12"/>
      <c r="X200" s="12"/>
      <c r="Y200" s="12"/>
      <c r="Z200" s="12"/>
    </row>
    <row r="201" spans="1:26" ht="15.75" outlineLevel="2" x14ac:dyDescent="0.2">
      <c r="A201" s="8" t="s">
        <v>676</v>
      </c>
      <c r="B201" s="135"/>
      <c r="C201" s="114" t="s">
        <v>89</v>
      </c>
      <c r="D201" s="10" t="s">
        <v>677</v>
      </c>
      <c r="E201" s="15" t="s">
        <v>91</v>
      </c>
      <c r="F201" s="15" t="s">
        <v>673</v>
      </c>
      <c r="G201" s="15">
        <f t="shared" si="29"/>
        <v>0</v>
      </c>
      <c r="H201" s="59" t="s">
        <v>678</v>
      </c>
      <c r="I201" s="10"/>
      <c r="J201" s="10"/>
      <c r="K201" s="10"/>
      <c r="L201" s="10"/>
      <c r="M201" s="10"/>
      <c r="N201" s="10"/>
      <c r="O201" s="10"/>
      <c r="P201" s="10"/>
      <c r="Q201" s="10"/>
      <c r="R201" s="11" t="str">
        <f t="shared" si="30"/>
        <v>Antimalarials &amp; RDT customers</v>
      </c>
      <c r="S201" s="11" t="s">
        <v>679</v>
      </c>
      <c r="T201" s="11"/>
      <c r="U201" s="11"/>
      <c r="V201" s="12"/>
      <c r="W201" s="12"/>
      <c r="X201" s="12"/>
      <c r="Y201" s="12"/>
      <c r="Z201" s="12"/>
    </row>
    <row r="202" spans="1:26" ht="127.5" hidden="1" outlineLevel="2" x14ac:dyDescent="0.2">
      <c r="A202" s="39" t="s">
        <v>680</v>
      </c>
      <c r="B202" s="9" t="s">
        <v>681</v>
      </c>
      <c r="C202" s="129" t="s">
        <v>223</v>
      </c>
      <c r="D202" s="9" t="s">
        <v>682</v>
      </c>
      <c r="E202" s="52" t="s">
        <v>683</v>
      </c>
      <c r="F202" s="52" t="s">
        <v>673</v>
      </c>
      <c r="G202" s="52">
        <f t="shared" si="29"/>
        <v>0</v>
      </c>
      <c r="H202" s="9" t="s">
        <v>684</v>
      </c>
      <c r="I202" s="9" t="s">
        <v>226</v>
      </c>
      <c r="J202" s="9"/>
      <c r="K202" s="9"/>
      <c r="L202" s="9" t="s">
        <v>136</v>
      </c>
      <c r="M202" s="9"/>
      <c r="N202" s="9"/>
      <c r="O202" s="9"/>
      <c r="P202" s="9" t="s">
        <v>83</v>
      </c>
      <c r="Q202" s="9"/>
      <c r="R202" s="9" t="str">
        <f t="shared" si="30"/>
        <v>[DELETE THIS ROW FROM THE FORM]  Does this [outlet or business] sell antimalarials or RDT to other outlets that re-sell the products?</v>
      </c>
      <c r="S202" s="9" t="s">
        <v>227</v>
      </c>
      <c r="T202" s="9" t="s">
        <v>228</v>
      </c>
      <c r="U202" s="9"/>
      <c r="V202" s="9"/>
      <c r="W202" s="9"/>
      <c r="X202" s="9"/>
      <c r="Y202" s="9"/>
      <c r="Z202" s="9"/>
    </row>
    <row r="203" spans="1:26" ht="50.25" hidden="1" customHeight="1" outlineLevel="2" x14ac:dyDescent="0.2">
      <c r="A203" s="39" t="s">
        <v>685</v>
      </c>
      <c r="B203" s="38"/>
      <c r="C203" s="123" t="s">
        <v>212</v>
      </c>
      <c r="D203" s="12" t="s">
        <v>686</v>
      </c>
      <c r="E203" s="15" t="s">
        <v>83</v>
      </c>
      <c r="F203" s="15" t="s">
        <v>673</v>
      </c>
      <c r="G203" s="15">
        <f t="shared" si="29"/>
        <v>1</v>
      </c>
      <c r="H203" s="12" t="s">
        <v>687</v>
      </c>
      <c r="I203" s="12"/>
      <c r="J203" s="12"/>
      <c r="K203" s="12"/>
      <c r="L203" s="12" t="s">
        <v>166</v>
      </c>
      <c r="M203" s="12"/>
      <c r="N203" s="12"/>
      <c r="O203" s="12"/>
      <c r="P203" s="10" t="s">
        <v>83</v>
      </c>
      <c r="Q203" s="12"/>
      <c r="R203" s="11" t="str">
        <f t="shared" si="30"/>
        <v>1. &lt;br&gt;Does this outlet/ business sell antimalarials or RDTs online?</v>
      </c>
      <c r="S203" s="11" t="s">
        <v>688</v>
      </c>
      <c r="T203" s="11"/>
      <c r="U203" s="11"/>
      <c r="V203" s="12"/>
      <c r="W203" s="12"/>
      <c r="X203" s="12"/>
      <c r="Y203" s="12"/>
      <c r="Z203" s="12"/>
    </row>
    <row r="204" spans="1:26" ht="100.5" customHeight="1" outlineLevel="2" x14ac:dyDescent="0.2">
      <c r="A204" s="60" t="s">
        <v>689</v>
      </c>
      <c r="B204" s="38"/>
      <c r="C204" s="123" t="s">
        <v>89</v>
      </c>
      <c r="D204" s="12" t="s">
        <v>690</v>
      </c>
      <c r="E204" s="15"/>
      <c r="F204" s="15" t="s">
        <v>673</v>
      </c>
      <c r="G204" s="15">
        <f t="shared" si="29"/>
        <v>2</v>
      </c>
      <c r="H204" s="12"/>
      <c r="I204" s="12"/>
      <c r="J204" s="12"/>
      <c r="K204" s="12"/>
      <c r="L204" s="10"/>
      <c r="M204" s="12"/>
      <c r="N204" s="12" t="s">
        <v>199</v>
      </c>
      <c r="O204" s="12"/>
      <c r="P204" s="12"/>
      <c r="Q204" s="12"/>
      <c r="R204" s="11"/>
      <c r="S204" s="11"/>
      <c r="T204" s="11"/>
      <c r="U204" s="11"/>
      <c r="V204" s="12"/>
      <c r="W204" s="12"/>
      <c r="X204" s="12"/>
      <c r="Y204" s="12"/>
      <c r="Z204" s="12"/>
    </row>
    <row r="205" spans="1:26" ht="76.5" hidden="1" outlineLevel="2" x14ac:dyDescent="0.2">
      <c r="A205" s="61"/>
      <c r="B205" s="49"/>
      <c r="C205" s="114" t="s">
        <v>350</v>
      </c>
      <c r="D205" s="10" t="s">
        <v>691</v>
      </c>
      <c r="E205" s="15" t="s">
        <v>83</v>
      </c>
      <c r="F205" s="15" t="s">
        <v>673</v>
      </c>
      <c r="G205" s="15">
        <f t="shared" si="29"/>
        <v>3</v>
      </c>
      <c r="H205" s="10" t="s">
        <v>692</v>
      </c>
      <c r="I205" s="12" t="s">
        <v>693</v>
      </c>
      <c r="J205" s="10"/>
      <c r="K205" s="10"/>
      <c r="L205" s="10"/>
      <c r="M205" s="10"/>
      <c r="N205" s="10" t="s">
        <v>356</v>
      </c>
      <c r="O205" s="10"/>
      <c r="P205" s="10" t="s">
        <v>83</v>
      </c>
      <c r="Q205" s="10"/>
      <c r="R205" s="11" t="str">
        <f t="shared" ref="R205:R206" si="31">IF(E205="no", H205, CONCATENATE(G205,". &lt;br&gt;",H205))</f>
        <v>3. &lt;br&gt;How many retail customers did you sell antimalarials/RDTs to in the last 7 days?&lt;br&gt;</v>
      </c>
      <c r="S205" s="11" t="s">
        <v>694</v>
      </c>
      <c r="T205" s="11" t="s">
        <v>695</v>
      </c>
      <c r="U205" s="11"/>
      <c r="V205" s="12"/>
      <c r="W205" s="12"/>
      <c r="X205" s="12"/>
      <c r="Y205" s="12"/>
      <c r="Z205" s="12"/>
    </row>
    <row r="206" spans="1:26" ht="102" hidden="1" outlineLevel="2" x14ac:dyDescent="0.2">
      <c r="A206" s="61"/>
      <c r="B206" s="49"/>
      <c r="C206" s="114" t="s">
        <v>350</v>
      </c>
      <c r="D206" s="10" t="s">
        <v>696</v>
      </c>
      <c r="E206" s="15" t="s">
        <v>83</v>
      </c>
      <c r="F206" s="15" t="s">
        <v>673</v>
      </c>
      <c r="G206" s="15">
        <f t="shared" si="29"/>
        <v>4</v>
      </c>
      <c r="H206" s="10" t="s">
        <v>697</v>
      </c>
      <c r="I206" s="12" t="s">
        <v>698</v>
      </c>
      <c r="J206" s="10"/>
      <c r="K206" s="10"/>
      <c r="L206" s="10" t="s">
        <v>699</v>
      </c>
      <c r="M206" s="10"/>
      <c r="N206" s="10" t="s">
        <v>356</v>
      </c>
      <c r="O206" s="10"/>
      <c r="P206" s="10" t="s">
        <v>83</v>
      </c>
      <c r="Q206" s="10"/>
      <c r="R206" s="11" t="str">
        <f t="shared" si="31"/>
        <v>4. &lt;br&gt;How many wholesale customers did you sell antimalarials/RDTs to in the last 7 days?</v>
      </c>
      <c r="S206" s="11" t="s">
        <v>700</v>
      </c>
      <c r="T206" s="11" t="s">
        <v>701</v>
      </c>
      <c r="U206" s="11"/>
      <c r="V206" s="12"/>
      <c r="W206" s="12"/>
      <c r="X206" s="12"/>
      <c r="Y206" s="12"/>
      <c r="Z206" s="12"/>
    </row>
    <row r="207" spans="1:26" ht="15.75" hidden="1" outlineLevel="2" x14ac:dyDescent="0.2">
      <c r="A207" s="61"/>
      <c r="B207" s="49"/>
      <c r="C207" s="114" t="s">
        <v>174</v>
      </c>
      <c r="D207" s="10" t="s">
        <v>690</v>
      </c>
      <c r="E207" s="15" t="s">
        <v>91</v>
      </c>
      <c r="F207" s="15" t="s">
        <v>673</v>
      </c>
      <c r="G207" s="15">
        <f t="shared" si="29"/>
        <v>4</v>
      </c>
      <c r="H207" s="10"/>
      <c r="I207" s="12"/>
      <c r="J207" s="10"/>
      <c r="K207" s="10"/>
      <c r="L207" s="10"/>
      <c r="M207" s="10"/>
      <c r="N207" s="10"/>
      <c r="O207" s="10"/>
      <c r="P207" s="10"/>
      <c r="Q207" s="10"/>
      <c r="R207" s="11"/>
      <c r="S207" s="11"/>
      <c r="T207" s="11"/>
      <c r="U207" s="11"/>
      <c r="V207" s="12"/>
      <c r="W207" s="12"/>
      <c r="X207" s="12"/>
      <c r="Y207" s="12"/>
      <c r="Z207" s="12"/>
    </row>
    <row r="208" spans="1:26" ht="15.75" outlineLevel="2" x14ac:dyDescent="0.2">
      <c r="A208" s="61"/>
      <c r="B208" s="26"/>
      <c r="C208" s="125" t="s">
        <v>89</v>
      </c>
      <c r="D208" s="23" t="s">
        <v>702</v>
      </c>
      <c r="E208" s="24" t="s">
        <v>91</v>
      </c>
      <c r="F208" s="24" t="s">
        <v>673</v>
      </c>
      <c r="G208" s="24">
        <f t="shared" si="29"/>
        <v>4</v>
      </c>
      <c r="H208" s="10" t="s">
        <v>703</v>
      </c>
      <c r="I208" s="23"/>
      <c r="J208" s="23"/>
      <c r="K208" s="23"/>
      <c r="L208" s="23" t="s">
        <v>699</v>
      </c>
      <c r="M208" s="23"/>
      <c r="N208" s="23" t="s">
        <v>199</v>
      </c>
      <c r="O208" s="23"/>
      <c r="P208" s="23"/>
      <c r="Q208" s="23"/>
      <c r="R208" s="25" t="str">
        <f t="shared" ref="R208:R215" si="32">IF(E208="no", H208, CONCATENATE(G208,". &lt;br&gt;",H208))</f>
        <v>customer types:</v>
      </c>
      <c r="S208" s="25" t="s">
        <v>704</v>
      </c>
      <c r="T208" s="25"/>
      <c r="U208" s="25"/>
      <c r="V208" s="26"/>
      <c r="W208" s="26"/>
      <c r="X208" s="26"/>
      <c r="Y208" s="26"/>
      <c r="Z208" s="26"/>
    </row>
    <row r="209" spans="1:26" ht="25.5" hidden="1" outlineLevel="2" x14ac:dyDescent="0.2">
      <c r="A209" s="61"/>
      <c r="B209" s="62"/>
      <c r="C209" s="124" t="s">
        <v>223</v>
      </c>
      <c r="D209" s="23" t="s">
        <v>705</v>
      </c>
      <c r="E209" s="24" t="s">
        <v>83</v>
      </c>
      <c r="F209" s="24" t="s">
        <v>673</v>
      </c>
      <c r="G209" s="24">
        <f t="shared" si="29"/>
        <v>5</v>
      </c>
      <c r="H209" s="10" t="s">
        <v>706</v>
      </c>
      <c r="I209" s="23" t="s">
        <v>707</v>
      </c>
      <c r="J209" s="23"/>
      <c r="K209" s="23"/>
      <c r="L209" s="23"/>
      <c r="M209" s="23"/>
      <c r="N209" s="23" t="s">
        <v>608</v>
      </c>
      <c r="O209" s="23"/>
      <c r="P209" s="23"/>
      <c r="Q209" s="23"/>
      <c r="R209" s="25" t="str">
        <f t="shared" si="32"/>
        <v>5. &lt;br&gt;&lt;b&gt;Which of the following types of clients or businesses do you sell antimalarials/RDTs to?&lt;/b&gt;</v>
      </c>
      <c r="S209" s="25" t="s">
        <v>708</v>
      </c>
      <c r="T209" s="25" t="s">
        <v>709</v>
      </c>
      <c r="U209" s="25"/>
      <c r="V209" s="26"/>
      <c r="W209" s="26"/>
      <c r="X209" s="26"/>
      <c r="Y209" s="26"/>
      <c r="Z209" s="26"/>
    </row>
    <row r="210" spans="1:26" ht="25.5" hidden="1" outlineLevel="2" x14ac:dyDescent="0.2">
      <c r="A210" s="61"/>
      <c r="B210" s="23"/>
      <c r="C210" s="124" t="s">
        <v>223</v>
      </c>
      <c r="D210" s="23" t="s">
        <v>710</v>
      </c>
      <c r="E210" s="24" t="s">
        <v>91</v>
      </c>
      <c r="F210" s="24" t="s">
        <v>673</v>
      </c>
      <c r="G210" s="24">
        <f t="shared" si="29"/>
        <v>5</v>
      </c>
      <c r="H210" s="63" t="s">
        <v>711</v>
      </c>
      <c r="I210" s="23"/>
      <c r="J210" s="23" t="s">
        <v>712</v>
      </c>
      <c r="K210" s="23" t="s">
        <v>713</v>
      </c>
      <c r="L210" s="23"/>
      <c r="M210" s="23"/>
      <c r="N210" s="23" t="s">
        <v>613</v>
      </c>
      <c r="O210" s="23"/>
      <c r="P210" s="23" t="s">
        <v>83</v>
      </c>
      <c r="Q210" s="23">
        <v>0</v>
      </c>
      <c r="R210" s="25" t="str">
        <f t="shared" si="32"/>
        <v xml:space="preserve">&lt;b&gt;Individual customers/ clients&lt;/b&gt; &lt;br&gt; (i.e. retail only - for consumption not for re-sale) </v>
      </c>
      <c r="S210" s="25" t="s">
        <v>714</v>
      </c>
      <c r="T210" s="25"/>
      <c r="U210" s="25" t="s">
        <v>715</v>
      </c>
      <c r="V210" s="23"/>
      <c r="W210" s="23"/>
      <c r="X210" s="23"/>
      <c r="Y210" s="23"/>
      <c r="Z210" s="23"/>
    </row>
    <row r="211" spans="1:26" ht="25.5" hidden="1" outlineLevel="2" x14ac:dyDescent="0.2">
      <c r="A211" s="61"/>
      <c r="B211" s="23"/>
      <c r="C211" s="124" t="s">
        <v>223</v>
      </c>
      <c r="D211" s="23" t="s">
        <v>716</v>
      </c>
      <c r="E211" s="24" t="s">
        <v>91</v>
      </c>
      <c r="F211" s="24" t="s">
        <v>673</v>
      </c>
      <c r="G211" s="24">
        <f t="shared" si="29"/>
        <v>5</v>
      </c>
      <c r="H211" s="63" t="s">
        <v>717</v>
      </c>
      <c r="I211" s="23"/>
      <c r="J211" s="23" t="s">
        <v>712</v>
      </c>
      <c r="K211" s="23" t="s">
        <v>713</v>
      </c>
      <c r="L211" s="23"/>
      <c r="M211" s="23"/>
      <c r="N211" s="23" t="s">
        <v>613</v>
      </c>
      <c r="O211" s="23"/>
      <c r="P211" s="23" t="s">
        <v>83</v>
      </c>
      <c r="Q211" s="23">
        <v>0</v>
      </c>
      <c r="R211" s="25" t="str">
        <f t="shared" si="32"/>
        <v>&lt;b&gt;Terminal wholesalers &lt;/b&gt;&lt;br&gt; (e.g. pharmacies, health facilties, etc.) who sell to indivdual clients ONLY</v>
      </c>
      <c r="S211" s="25" t="s">
        <v>718</v>
      </c>
      <c r="T211" s="25"/>
      <c r="U211" s="25" t="s">
        <v>715</v>
      </c>
      <c r="V211" s="23"/>
      <c r="W211" s="23"/>
      <c r="X211" s="23"/>
      <c r="Y211" s="23"/>
      <c r="Z211" s="23"/>
    </row>
    <row r="212" spans="1:26" ht="25.5" hidden="1" outlineLevel="2" x14ac:dyDescent="0.2">
      <c r="A212" s="61"/>
      <c r="B212" s="23"/>
      <c r="C212" s="124" t="s">
        <v>223</v>
      </c>
      <c r="D212" s="23" t="s">
        <v>719</v>
      </c>
      <c r="E212" s="24" t="s">
        <v>91</v>
      </c>
      <c r="F212" s="24" t="s">
        <v>673</v>
      </c>
      <c r="G212" s="24">
        <f t="shared" si="29"/>
        <v>5</v>
      </c>
      <c r="H212" s="63" t="s">
        <v>720</v>
      </c>
      <c r="I212" s="23"/>
      <c r="J212" s="23" t="s">
        <v>712</v>
      </c>
      <c r="K212" s="23" t="s">
        <v>713</v>
      </c>
      <c r="L212" s="23"/>
      <c r="M212" s="23"/>
      <c r="N212" s="23" t="s">
        <v>613</v>
      </c>
      <c r="O212" s="23"/>
      <c r="P212" s="23" t="s">
        <v>83</v>
      </c>
      <c r="Q212" s="23">
        <v>0</v>
      </c>
      <c r="R212" s="25" t="str">
        <f t="shared" si="32"/>
        <v>&lt;b&gt;Intermediate wholesalers &lt;/b&gt;&lt;br&gt; (i.e. outlets/ busineses who supply other outlets/businesses - e.g. pharmacies who sell to drug shops, wholesalers)</v>
      </c>
      <c r="S212" s="25" t="s">
        <v>721</v>
      </c>
      <c r="T212" s="25"/>
      <c r="U212" s="25" t="s">
        <v>715</v>
      </c>
      <c r="V212" s="23"/>
      <c r="W212" s="23"/>
      <c r="X212" s="23"/>
      <c r="Y212" s="23"/>
      <c r="Z212" s="23"/>
    </row>
    <row r="213" spans="1:26" ht="15.75" hidden="1" outlineLevel="2" x14ac:dyDescent="0.2">
      <c r="A213" s="61"/>
      <c r="B213" s="23"/>
      <c r="C213" s="124" t="s">
        <v>223</v>
      </c>
      <c r="D213" s="23" t="s">
        <v>722</v>
      </c>
      <c r="E213" s="24" t="s">
        <v>91</v>
      </c>
      <c r="F213" s="24" t="s">
        <v>673</v>
      </c>
      <c r="G213" s="24">
        <f t="shared" si="29"/>
        <v>5</v>
      </c>
      <c r="H213" s="63" t="s">
        <v>723</v>
      </c>
      <c r="I213" s="23"/>
      <c r="J213" s="23" t="s">
        <v>712</v>
      </c>
      <c r="K213" s="23" t="s">
        <v>713</v>
      </c>
      <c r="L213" s="23" t="s">
        <v>724</v>
      </c>
      <c r="M213" s="23"/>
      <c r="N213" s="23" t="s">
        <v>613</v>
      </c>
      <c r="O213" s="23"/>
      <c r="P213" s="23" t="s">
        <v>83</v>
      </c>
      <c r="Q213" s="23">
        <v>0</v>
      </c>
      <c r="R213" s="25" t="str">
        <f t="shared" si="32"/>
        <v>Individual customers &lt;b&gt;ONLINE&lt;/b&gt;</v>
      </c>
      <c r="S213" s="25" t="s">
        <v>725</v>
      </c>
      <c r="T213" s="25"/>
      <c r="U213" s="25" t="s">
        <v>715</v>
      </c>
      <c r="V213" s="23"/>
      <c r="W213" s="23"/>
      <c r="X213" s="23"/>
      <c r="Y213" s="23"/>
      <c r="Z213" s="23"/>
    </row>
    <row r="214" spans="1:26" ht="15.75" hidden="1" outlineLevel="2" x14ac:dyDescent="0.2">
      <c r="A214" s="61"/>
      <c r="B214" s="23"/>
      <c r="C214" s="124" t="s">
        <v>223</v>
      </c>
      <c r="D214" s="23" t="s">
        <v>726</v>
      </c>
      <c r="E214" s="24" t="s">
        <v>91</v>
      </c>
      <c r="F214" s="24" t="s">
        <v>673</v>
      </c>
      <c r="G214" s="24">
        <f t="shared" si="29"/>
        <v>5</v>
      </c>
      <c r="H214" s="63" t="s">
        <v>727</v>
      </c>
      <c r="I214" s="23"/>
      <c r="J214" s="23" t="s">
        <v>712</v>
      </c>
      <c r="K214" s="23" t="s">
        <v>713</v>
      </c>
      <c r="L214" s="23" t="s">
        <v>724</v>
      </c>
      <c r="M214" s="23"/>
      <c r="N214" s="23" t="s">
        <v>613</v>
      </c>
      <c r="O214" s="23"/>
      <c r="P214" s="23" t="s">
        <v>83</v>
      </c>
      <c r="Q214" s="23">
        <v>0</v>
      </c>
      <c r="R214" s="25" t="str">
        <f t="shared" si="32"/>
        <v>Sell wholesale &lt;b&gt;ONLINE&lt;/b&gt;</v>
      </c>
      <c r="S214" s="25" t="s">
        <v>728</v>
      </c>
      <c r="T214" s="25"/>
      <c r="U214" s="25" t="s">
        <v>715</v>
      </c>
      <c r="V214" s="23"/>
      <c r="W214" s="23"/>
      <c r="X214" s="23"/>
      <c r="Y214" s="23"/>
      <c r="Z214" s="23"/>
    </row>
    <row r="215" spans="1:26" ht="15.75" hidden="1" outlineLevel="2" x14ac:dyDescent="0.2">
      <c r="A215" s="61"/>
      <c r="B215" s="64"/>
      <c r="C215" s="124" t="s">
        <v>223</v>
      </c>
      <c r="D215" s="23" t="s">
        <v>729</v>
      </c>
      <c r="E215" s="24" t="s">
        <v>91</v>
      </c>
      <c r="F215" s="24" t="s">
        <v>673</v>
      </c>
      <c r="G215" s="24">
        <f t="shared" si="29"/>
        <v>5</v>
      </c>
      <c r="H215" s="63" t="s">
        <v>730</v>
      </c>
      <c r="I215" s="23"/>
      <c r="J215" s="23" t="s">
        <v>712</v>
      </c>
      <c r="K215" s="23" t="s">
        <v>713</v>
      </c>
      <c r="L215" s="23"/>
      <c r="M215" s="23"/>
      <c r="N215" s="23" t="s">
        <v>613</v>
      </c>
      <c r="O215" s="23"/>
      <c r="P215" s="23" t="s">
        <v>83</v>
      </c>
      <c r="Q215" s="23">
        <v>0</v>
      </c>
      <c r="R215" s="25" t="str">
        <f t="shared" si="32"/>
        <v>Other</v>
      </c>
      <c r="S215" s="25" t="s">
        <v>731</v>
      </c>
      <c r="T215" s="25"/>
      <c r="U215" s="25" t="s">
        <v>715</v>
      </c>
      <c r="V215" s="23"/>
      <c r="W215" s="23"/>
      <c r="X215" s="23"/>
      <c r="Y215" s="23"/>
      <c r="Z215" s="23"/>
    </row>
    <row r="216" spans="1:26" ht="15.75" hidden="1" outlineLevel="2" x14ac:dyDescent="0.2">
      <c r="A216" s="61"/>
      <c r="B216" s="41"/>
      <c r="C216" s="125" t="s">
        <v>174</v>
      </c>
      <c r="D216" s="23" t="s">
        <v>702</v>
      </c>
      <c r="E216" s="24" t="s">
        <v>91</v>
      </c>
      <c r="F216" s="24" t="s">
        <v>673</v>
      </c>
      <c r="G216" s="24">
        <f t="shared" si="29"/>
        <v>5</v>
      </c>
      <c r="H216" s="10"/>
      <c r="I216" s="23"/>
      <c r="J216" s="23"/>
      <c r="K216" s="23"/>
      <c r="L216" s="23"/>
      <c r="M216" s="23"/>
      <c r="N216" s="23"/>
      <c r="O216" s="23"/>
      <c r="P216" s="23"/>
      <c r="Q216" s="23"/>
      <c r="R216" s="25"/>
      <c r="S216" s="25"/>
      <c r="T216" s="25"/>
      <c r="U216" s="25"/>
      <c r="V216" s="26"/>
      <c r="W216" s="26"/>
      <c r="X216" s="26"/>
      <c r="Y216" s="26"/>
      <c r="Z216" s="26"/>
    </row>
    <row r="217" spans="1:26" ht="18.75" hidden="1" outlineLevel="2" x14ac:dyDescent="0.2">
      <c r="A217" s="61"/>
      <c r="B217" s="65"/>
      <c r="C217" s="125" t="s">
        <v>144</v>
      </c>
      <c r="D217" s="23" t="s">
        <v>732</v>
      </c>
      <c r="E217" s="24" t="s">
        <v>91</v>
      </c>
      <c r="F217" s="24" t="s">
        <v>673</v>
      </c>
      <c r="G217" s="24">
        <f t="shared" si="29"/>
        <v>5</v>
      </c>
      <c r="H217" s="10" t="s">
        <v>733</v>
      </c>
      <c r="I217" s="23"/>
      <c r="J217" s="23"/>
      <c r="K217" s="23"/>
      <c r="L217" s="23" t="s">
        <v>734</v>
      </c>
      <c r="M217" s="23"/>
      <c r="N217" s="23"/>
      <c r="O217" s="23"/>
      <c r="P217" s="23"/>
      <c r="Q217" s="23"/>
      <c r="R217" s="25" t="str">
        <f t="shared" ref="R217:R226" si="33">IF(E217="no", H217, CONCATENATE(G217,". &lt;br&gt;",H217))</f>
        <v>Specify other customers:</v>
      </c>
      <c r="S217" s="25" t="s">
        <v>735</v>
      </c>
      <c r="T217" s="25"/>
      <c r="U217" s="25"/>
      <c r="V217" s="26"/>
      <c r="W217" s="26"/>
      <c r="X217" s="26"/>
      <c r="Y217" s="26"/>
      <c r="Z217" s="26"/>
    </row>
    <row r="218" spans="1:26" ht="51" hidden="1" outlineLevel="2" x14ac:dyDescent="0.2">
      <c r="A218" s="61"/>
      <c r="B218" s="41"/>
      <c r="C218" s="125" t="s">
        <v>182</v>
      </c>
      <c r="D218" s="23" t="s">
        <v>736</v>
      </c>
      <c r="E218" s="24" t="s">
        <v>83</v>
      </c>
      <c r="F218" s="24" t="s">
        <v>673</v>
      </c>
      <c r="G218" s="24">
        <f t="shared" si="29"/>
        <v>6</v>
      </c>
      <c r="H218" s="10" t="s">
        <v>737</v>
      </c>
      <c r="I218" s="23" t="s">
        <v>738</v>
      </c>
      <c r="J218" s="23"/>
      <c r="K218" s="23"/>
      <c r="L218" s="23" t="s">
        <v>699</v>
      </c>
      <c r="M218" s="23"/>
      <c r="N218" s="23"/>
      <c r="O218" s="23"/>
      <c r="P218" s="23" t="s">
        <v>83</v>
      </c>
      <c r="Q218" s="23"/>
      <c r="R218" s="25" t="str">
        <f t="shared" si="33"/>
        <v xml:space="preserve">6. &lt;br&gt;Can you estimate the proportion of antimalarials/RDTs you sell to each customer type in the last year?
&lt;br&gt;Report the estimated propotions by volume not cost
</v>
      </c>
      <c r="S218" s="25" t="s">
        <v>739</v>
      </c>
      <c r="T218" s="25" t="s">
        <v>740</v>
      </c>
      <c r="U218" s="25"/>
      <c r="V218" s="26"/>
      <c r="W218" s="26"/>
      <c r="X218" s="26"/>
      <c r="Y218" s="26"/>
      <c r="Z218" s="26"/>
    </row>
    <row r="219" spans="1:26" ht="18.75" outlineLevel="2" x14ac:dyDescent="0.2">
      <c r="A219" s="61"/>
      <c r="B219" s="65"/>
      <c r="C219" s="125" t="s">
        <v>89</v>
      </c>
      <c r="D219" s="23" t="s">
        <v>741</v>
      </c>
      <c r="E219" s="24" t="s">
        <v>91</v>
      </c>
      <c r="F219" s="24" t="s">
        <v>673</v>
      </c>
      <c r="G219" s="24">
        <f t="shared" si="29"/>
        <v>6</v>
      </c>
      <c r="H219" s="10" t="s">
        <v>742</v>
      </c>
      <c r="I219" s="23"/>
      <c r="J219" s="23"/>
      <c r="K219" s="23"/>
      <c r="L219" s="23" t="s">
        <v>743</v>
      </c>
      <c r="M219" s="23"/>
      <c r="N219" s="23" t="s">
        <v>199</v>
      </c>
      <c r="O219" s="23"/>
      <c r="P219" s="23"/>
      <c r="Q219" s="23"/>
      <c r="R219" s="25" t="str">
        <f t="shared" si="33"/>
        <v>customer proportions:</v>
      </c>
      <c r="S219" s="25" t="s">
        <v>744</v>
      </c>
      <c r="T219" s="25"/>
      <c r="U219" s="25"/>
      <c r="V219" s="26"/>
      <c r="W219" s="26"/>
      <c r="X219" s="26"/>
      <c r="Y219" s="26"/>
      <c r="Z219" s="26"/>
    </row>
    <row r="220" spans="1:26" ht="25.5" hidden="1" outlineLevel="2" x14ac:dyDescent="0.2">
      <c r="A220" s="61"/>
      <c r="B220" s="26"/>
      <c r="C220" s="125" t="s">
        <v>76</v>
      </c>
      <c r="D220" s="23" t="s">
        <v>745</v>
      </c>
      <c r="E220" s="24" t="s">
        <v>83</v>
      </c>
      <c r="F220" s="24" t="s">
        <v>673</v>
      </c>
      <c r="G220" s="24">
        <f t="shared" si="29"/>
        <v>7</v>
      </c>
      <c r="H220" s="10" t="s">
        <v>746</v>
      </c>
      <c r="I220" s="23"/>
      <c r="J220" s="23"/>
      <c r="K220" s="23"/>
      <c r="L220" s="23"/>
      <c r="M220" s="23"/>
      <c r="N220" s="23"/>
      <c r="O220" s="23"/>
      <c r="P220" s="23"/>
      <c r="Q220" s="23"/>
      <c r="R220" s="25" t="str">
        <f t="shared" si="33"/>
        <v>7. &lt;br&gt;Estimate the % of antimalarial product you sell to each customer type in the past year:</v>
      </c>
      <c r="S220" s="25" t="s">
        <v>747</v>
      </c>
      <c r="T220" s="25"/>
      <c r="U220" s="25"/>
      <c r="V220" s="26"/>
      <c r="W220" s="26"/>
      <c r="X220" s="26"/>
      <c r="Y220" s="26"/>
      <c r="Z220" s="26"/>
    </row>
    <row r="221" spans="1:26" ht="25.5" hidden="1" outlineLevel="2" x14ac:dyDescent="0.2">
      <c r="A221" s="61"/>
      <c r="B221" s="41"/>
      <c r="C221" s="124" t="s">
        <v>350</v>
      </c>
      <c r="D221" s="23" t="s">
        <v>748</v>
      </c>
      <c r="E221" s="24" t="s">
        <v>91</v>
      </c>
      <c r="F221" s="24" t="s">
        <v>673</v>
      </c>
      <c r="G221" s="24">
        <f t="shared" si="29"/>
        <v>7</v>
      </c>
      <c r="H221" s="63" t="s">
        <v>711</v>
      </c>
      <c r="I221" s="23"/>
      <c r="J221" s="23" t="s">
        <v>712</v>
      </c>
      <c r="K221" s="23" t="s">
        <v>713</v>
      </c>
      <c r="L221" s="23" t="s">
        <v>749</v>
      </c>
      <c r="M221" s="23"/>
      <c r="N221" s="23" t="s">
        <v>750</v>
      </c>
      <c r="O221" s="23"/>
      <c r="P221" s="23" t="s">
        <v>83</v>
      </c>
      <c r="Q221" s="23"/>
      <c r="R221" s="25" t="str">
        <f t="shared" si="33"/>
        <v xml:space="preserve">&lt;b&gt;Individual customers/ clients&lt;/b&gt; &lt;br&gt; (i.e. retail only - for consumption not for re-sale) </v>
      </c>
      <c r="S221" s="25" t="s">
        <v>751</v>
      </c>
      <c r="T221" s="25"/>
      <c r="U221" s="25" t="s">
        <v>715</v>
      </c>
      <c r="V221" s="23"/>
      <c r="W221" s="23"/>
      <c r="X221" s="23"/>
      <c r="Y221" s="23"/>
      <c r="Z221" s="23"/>
    </row>
    <row r="222" spans="1:26" ht="25.5" hidden="1" outlineLevel="2" x14ac:dyDescent="0.2">
      <c r="A222" s="61"/>
      <c r="B222" s="41"/>
      <c r="C222" s="124" t="s">
        <v>350</v>
      </c>
      <c r="D222" s="23" t="s">
        <v>752</v>
      </c>
      <c r="E222" s="24" t="s">
        <v>91</v>
      </c>
      <c r="F222" s="24" t="s">
        <v>673</v>
      </c>
      <c r="G222" s="24">
        <f t="shared" si="29"/>
        <v>7</v>
      </c>
      <c r="H222" s="63" t="s">
        <v>753</v>
      </c>
      <c r="I222" s="23"/>
      <c r="J222" s="23" t="s">
        <v>712</v>
      </c>
      <c r="K222" s="23" t="s">
        <v>713</v>
      </c>
      <c r="L222" s="23" t="s">
        <v>754</v>
      </c>
      <c r="M222" s="23"/>
      <c r="N222" s="23" t="s">
        <v>750</v>
      </c>
      <c r="O222" s="23"/>
      <c r="P222" s="23" t="s">
        <v>83</v>
      </c>
      <c r="Q222" s="23"/>
      <c r="R222" s="25" t="str">
        <f t="shared" si="33"/>
        <v>&lt;b&gt;Terminal wholesalers &lt;/b&gt;&lt;br&gt; (e.g. pharmacies, health facilties, etc. who sell to indivdual clients ONLY</v>
      </c>
      <c r="S222" s="25" t="s">
        <v>755</v>
      </c>
      <c r="T222" s="25"/>
      <c r="U222" s="25" t="s">
        <v>715</v>
      </c>
      <c r="V222" s="23"/>
      <c r="W222" s="23"/>
      <c r="X222" s="23"/>
      <c r="Y222" s="23"/>
      <c r="Z222" s="23"/>
    </row>
    <row r="223" spans="1:26" ht="25.5" hidden="1" outlineLevel="2" x14ac:dyDescent="0.2">
      <c r="A223" s="61"/>
      <c r="B223" s="41"/>
      <c r="C223" s="124" t="s">
        <v>350</v>
      </c>
      <c r="D223" s="23" t="s">
        <v>756</v>
      </c>
      <c r="E223" s="24" t="s">
        <v>91</v>
      </c>
      <c r="F223" s="24" t="s">
        <v>673</v>
      </c>
      <c r="G223" s="24">
        <f t="shared" si="29"/>
        <v>7</v>
      </c>
      <c r="H223" s="63" t="s">
        <v>720</v>
      </c>
      <c r="I223" s="23"/>
      <c r="J223" s="23" t="s">
        <v>712</v>
      </c>
      <c r="K223" s="23" t="s">
        <v>713</v>
      </c>
      <c r="L223" s="23" t="s">
        <v>757</v>
      </c>
      <c r="M223" s="23"/>
      <c r="N223" s="23" t="s">
        <v>750</v>
      </c>
      <c r="O223" s="23"/>
      <c r="P223" s="23" t="s">
        <v>83</v>
      </c>
      <c r="Q223" s="23"/>
      <c r="R223" s="25" t="str">
        <f t="shared" si="33"/>
        <v>&lt;b&gt;Intermediate wholesalers &lt;/b&gt;&lt;br&gt; (i.e. outlets/ busineses who supply other outlets/businesses - e.g. pharmacies who sell to drug shops, wholesalers)</v>
      </c>
      <c r="S223" s="25" t="s">
        <v>758</v>
      </c>
      <c r="T223" s="25"/>
      <c r="U223" s="25" t="s">
        <v>715</v>
      </c>
      <c r="V223" s="23"/>
      <c r="W223" s="23"/>
      <c r="X223" s="23"/>
      <c r="Y223" s="23"/>
      <c r="Z223" s="23"/>
    </row>
    <row r="224" spans="1:26" ht="15.75" hidden="1" outlineLevel="2" x14ac:dyDescent="0.2">
      <c r="A224" s="61"/>
      <c r="B224" s="41"/>
      <c r="C224" s="124" t="s">
        <v>350</v>
      </c>
      <c r="D224" s="23" t="s">
        <v>759</v>
      </c>
      <c r="E224" s="24" t="s">
        <v>91</v>
      </c>
      <c r="F224" s="24" t="s">
        <v>673</v>
      </c>
      <c r="G224" s="24">
        <f t="shared" si="29"/>
        <v>7</v>
      </c>
      <c r="H224" s="63" t="s">
        <v>723</v>
      </c>
      <c r="I224" s="23"/>
      <c r="J224" s="23" t="s">
        <v>712</v>
      </c>
      <c r="K224" s="23" t="s">
        <v>713</v>
      </c>
      <c r="L224" s="23" t="s">
        <v>760</v>
      </c>
      <c r="M224" s="23"/>
      <c r="N224" s="23" t="s">
        <v>750</v>
      </c>
      <c r="O224" s="23"/>
      <c r="P224" s="23" t="s">
        <v>83</v>
      </c>
      <c r="Q224" s="23"/>
      <c r="R224" s="25" t="str">
        <f t="shared" si="33"/>
        <v>Individual customers &lt;b&gt;ONLINE&lt;/b&gt;</v>
      </c>
      <c r="S224" s="25" t="s">
        <v>725</v>
      </c>
      <c r="T224" s="25"/>
      <c r="U224" s="25" t="s">
        <v>715</v>
      </c>
      <c r="V224" s="23"/>
      <c r="W224" s="23"/>
      <c r="X224" s="23"/>
      <c r="Y224" s="23"/>
      <c r="Z224" s="23"/>
    </row>
    <row r="225" spans="1:26" ht="15.75" hidden="1" outlineLevel="2" x14ac:dyDescent="0.2">
      <c r="A225" s="61"/>
      <c r="B225" s="41"/>
      <c r="C225" s="124" t="s">
        <v>350</v>
      </c>
      <c r="D225" s="23" t="s">
        <v>761</v>
      </c>
      <c r="E225" s="24" t="s">
        <v>91</v>
      </c>
      <c r="F225" s="24" t="s">
        <v>673</v>
      </c>
      <c r="G225" s="24">
        <f t="shared" si="29"/>
        <v>7</v>
      </c>
      <c r="H225" s="63" t="s">
        <v>727</v>
      </c>
      <c r="I225" s="23"/>
      <c r="J225" s="23" t="s">
        <v>712</v>
      </c>
      <c r="K225" s="23" t="s">
        <v>713</v>
      </c>
      <c r="L225" s="23" t="s">
        <v>762</v>
      </c>
      <c r="M225" s="23"/>
      <c r="N225" s="23" t="s">
        <v>750</v>
      </c>
      <c r="O225" s="23"/>
      <c r="P225" s="23" t="s">
        <v>83</v>
      </c>
      <c r="Q225" s="23"/>
      <c r="R225" s="25" t="str">
        <f t="shared" si="33"/>
        <v>Sell wholesale &lt;b&gt;ONLINE&lt;/b&gt;</v>
      </c>
      <c r="S225" s="25" t="s">
        <v>728</v>
      </c>
      <c r="T225" s="25"/>
      <c r="U225" s="25" t="s">
        <v>715</v>
      </c>
      <c r="V225" s="23"/>
      <c r="W225" s="23"/>
      <c r="X225" s="23"/>
      <c r="Y225" s="23"/>
      <c r="Z225" s="23"/>
    </row>
    <row r="226" spans="1:26" ht="15.75" hidden="1" outlineLevel="2" x14ac:dyDescent="0.2">
      <c r="A226" s="61"/>
      <c r="B226" s="64"/>
      <c r="C226" s="124" t="s">
        <v>350</v>
      </c>
      <c r="D226" s="23" t="s">
        <v>763</v>
      </c>
      <c r="E226" s="24" t="s">
        <v>91</v>
      </c>
      <c r="F226" s="24" t="s">
        <v>673</v>
      </c>
      <c r="G226" s="24">
        <f t="shared" si="29"/>
        <v>7</v>
      </c>
      <c r="H226" s="63" t="s">
        <v>730</v>
      </c>
      <c r="I226" s="23"/>
      <c r="J226" s="23" t="s">
        <v>712</v>
      </c>
      <c r="K226" s="23" t="s">
        <v>713</v>
      </c>
      <c r="L226" s="23" t="s">
        <v>734</v>
      </c>
      <c r="M226" s="23"/>
      <c r="N226" s="23" t="s">
        <v>764</v>
      </c>
      <c r="O226" s="23"/>
      <c r="P226" s="23" t="s">
        <v>83</v>
      </c>
      <c r="Q226" s="23"/>
      <c r="R226" s="25" t="str">
        <f t="shared" si="33"/>
        <v>Other</v>
      </c>
      <c r="S226" s="25" t="s">
        <v>731</v>
      </c>
      <c r="T226" s="25"/>
      <c r="U226" s="25" t="s">
        <v>715</v>
      </c>
      <c r="V226" s="23"/>
      <c r="W226" s="23"/>
      <c r="X226" s="23"/>
      <c r="Y226" s="23"/>
      <c r="Z226" s="23"/>
    </row>
    <row r="227" spans="1:26" ht="15.75" hidden="1" outlineLevel="2" x14ac:dyDescent="0.2">
      <c r="A227" s="61"/>
      <c r="B227" s="23"/>
      <c r="C227" s="125" t="s">
        <v>174</v>
      </c>
      <c r="D227" s="23" t="s">
        <v>741</v>
      </c>
      <c r="E227" s="24" t="s">
        <v>91</v>
      </c>
      <c r="F227" s="24" t="s">
        <v>673</v>
      </c>
      <c r="G227" s="24">
        <f t="shared" si="29"/>
        <v>7</v>
      </c>
      <c r="H227" s="10"/>
      <c r="I227" s="23"/>
      <c r="J227" s="23"/>
      <c r="K227" s="23"/>
      <c r="L227" s="23"/>
      <c r="M227" s="23"/>
      <c r="N227" s="23"/>
      <c r="O227" s="23"/>
      <c r="P227" s="23"/>
      <c r="Q227" s="23"/>
      <c r="R227" s="25"/>
      <c r="S227" s="25"/>
      <c r="T227" s="25"/>
      <c r="U227" s="25"/>
      <c r="V227" s="26"/>
      <c r="W227" s="26"/>
      <c r="X227" s="26"/>
      <c r="Y227" s="26"/>
      <c r="Z227" s="26"/>
    </row>
    <row r="228" spans="1:26" ht="15.75" hidden="1" outlineLevel="2" x14ac:dyDescent="0.2">
      <c r="A228" s="61"/>
      <c r="B228" s="41"/>
      <c r="C228" s="125" t="s">
        <v>109</v>
      </c>
      <c r="D228" s="23" t="s">
        <v>765</v>
      </c>
      <c r="E228" s="24" t="s">
        <v>91</v>
      </c>
      <c r="F228" s="24" t="s">
        <v>673</v>
      </c>
      <c r="G228" s="24">
        <f t="shared" si="29"/>
        <v>7</v>
      </c>
      <c r="H228" s="12"/>
      <c r="I228" s="23"/>
      <c r="J228" s="23" t="s">
        <v>712</v>
      </c>
      <c r="K228" s="23" t="s">
        <v>713</v>
      </c>
      <c r="L228" s="23"/>
      <c r="M228" s="23" t="s">
        <v>766</v>
      </c>
      <c r="N228" s="23"/>
      <c r="O228" s="23"/>
      <c r="P228" s="23"/>
      <c r="Q228" s="23"/>
      <c r="R228" s="25"/>
      <c r="S228" s="25"/>
      <c r="T228" s="25"/>
      <c r="U228" s="25" t="s">
        <v>715</v>
      </c>
      <c r="V228" s="23"/>
      <c r="W228" s="23"/>
      <c r="X228" s="23"/>
      <c r="Y228" s="23"/>
      <c r="Z228" s="23"/>
    </row>
    <row r="229" spans="1:26" ht="15.75" hidden="1" outlineLevel="2" x14ac:dyDescent="0.2">
      <c r="A229" s="61"/>
      <c r="B229" s="41"/>
      <c r="C229" s="125" t="s">
        <v>109</v>
      </c>
      <c r="D229" s="23" t="s">
        <v>767</v>
      </c>
      <c r="E229" s="24" t="s">
        <v>91</v>
      </c>
      <c r="F229" s="24" t="s">
        <v>673</v>
      </c>
      <c r="G229" s="24">
        <f t="shared" si="29"/>
        <v>7</v>
      </c>
      <c r="H229" s="12"/>
      <c r="I229" s="23"/>
      <c r="J229" s="23" t="s">
        <v>712</v>
      </c>
      <c r="K229" s="23" t="s">
        <v>713</v>
      </c>
      <c r="L229" s="23"/>
      <c r="M229" s="23" t="s">
        <v>768</v>
      </c>
      <c r="N229" s="23"/>
      <c r="O229" s="23"/>
      <c r="P229" s="23"/>
      <c r="Q229" s="23"/>
      <c r="R229" s="25"/>
      <c r="S229" s="25"/>
      <c r="T229" s="25"/>
      <c r="U229" s="25" t="s">
        <v>715</v>
      </c>
      <c r="V229" s="23"/>
      <c r="W229" s="23"/>
      <c r="X229" s="23"/>
      <c r="Y229" s="23"/>
      <c r="Z229" s="23"/>
    </row>
    <row r="230" spans="1:26" ht="15.75" hidden="1" outlineLevel="2" x14ac:dyDescent="0.2">
      <c r="A230" s="61"/>
      <c r="B230" s="41"/>
      <c r="C230" s="125" t="s">
        <v>109</v>
      </c>
      <c r="D230" s="23" t="s">
        <v>769</v>
      </c>
      <c r="E230" s="24" t="s">
        <v>91</v>
      </c>
      <c r="F230" s="24" t="s">
        <v>673</v>
      </c>
      <c r="G230" s="24">
        <f t="shared" si="29"/>
        <v>7</v>
      </c>
      <c r="H230" s="12"/>
      <c r="I230" s="23"/>
      <c r="J230" s="23" t="s">
        <v>712</v>
      </c>
      <c r="K230" s="23" t="s">
        <v>713</v>
      </c>
      <c r="L230" s="23"/>
      <c r="M230" s="23" t="s">
        <v>770</v>
      </c>
      <c r="N230" s="23"/>
      <c r="O230" s="23"/>
      <c r="P230" s="23"/>
      <c r="Q230" s="23"/>
      <c r="R230" s="25"/>
      <c r="S230" s="25"/>
      <c r="T230" s="25"/>
      <c r="U230" s="25" t="s">
        <v>715</v>
      </c>
      <c r="V230" s="23"/>
      <c r="W230" s="23"/>
      <c r="X230" s="23"/>
      <c r="Y230" s="23"/>
      <c r="Z230" s="23"/>
    </row>
    <row r="231" spans="1:26" ht="15.75" hidden="1" outlineLevel="2" x14ac:dyDescent="0.2">
      <c r="A231" s="61"/>
      <c r="B231" s="23"/>
      <c r="C231" s="125" t="s">
        <v>109</v>
      </c>
      <c r="D231" s="23" t="s">
        <v>771</v>
      </c>
      <c r="E231" s="24" t="s">
        <v>91</v>
      </c>
      <c r="F231" s="24" t="s">
        <v>673</v>
      </c>
      <c r="G231" s="24">
        <f t="shared" si="29"/>
        <v>7</v>
      </c>
      <c r="H231" s="12"/>
      <c r="I231" s="23"/>
      <c r="J231" s="23" t="s">
        <v>712</v>
      </c>
      <c r="K231" s="23" t="s">
        <v>713</v>
      </c>
      <c r="L231" s="23"/>
      <c r="M231" s="23" t="s">
        <v>772</v>
      </c>
      <c r="N231" s="23"/>
      <c r="O231" s="23"/>
      <c r="P231" s="23"/>
      <c r="Q231" s="23"/>
      <c r="R231" s="25"/>
      <c r="S231" s="25"/>
      <c r="T231" s="25"/>
      <c r="U231" s="25" t="s">
        <v>715</v>
      </c>
      <c r="V231" s="23"/>
      <c r="W231" s="23"/>
      <c r="X231" s="23"/>
      <c r="Y231" s="23"/>
      <c r="Z231" s="23"/>
    </row>
    <row r="232" spans="1:26" ht="15.75" hidden="1" outlineLevel="2" x14ac:dyDescent="0.2">
      <c r="A232" s="61"/>
      <c r="B232" s="41"/>
      <c r="C232" s="125" t="s">
        <v>109</v>
      </c>
      <c r="D232" s="23" t="s">
        <v>773</v>
      </c>
      <c r="E232" s="24" t="s">
        <v>91</v>
      </c>
      <c r="F232" s="24" t="s">
        <v>673</v>
      </c>
      <c r="G232" s="24">
        <f t="shared" si="29"/>
        <v>7</v>
      </c>
      <c r="H232" s="12"/>
      <c r="I232" s="23"/>
      <c r="J232" s="23" t="s">
        <v>712</v>
      </c>
      <c r="K232" s="23" t="s">
        <v>713</v>
      </c>
      <c r="L232" s="23"/>
      <c r="M232" s="23" t="s">
        <v>774</v>
      </c>
      <c r="N232" s="23"/>
      <c r="O232" s="23"/>
      <c r="P232" s="23"/>
      <c r="Q232" s="23"/>
      <c r="R232" s="25"/>
      <c r="S232" s="25"/>
      <c r="T232" s="25"/>
      <c r="U232" s="25" t="s">
        <v>715</v>
      </c>
      <c r="V232" s="23"/>
      <c r="W232" s="23"/>
      <c r="X232" s="23"/>
      <c r="Y232" s="23"/>
      <c r="Z232" s="23"/>
    </row>
    <row r="233" spans="1:26" ht="15.75" hidden="1" outlineLevel="2" x14ac:dyDescent="0.2">
      <c r="A233" s="61"/>
      <c r="B233" s="64"/>
      <c r="C233" s="125" t="s">
        <v>109</v>
      </c>
      <c r="D233" s="23" t="s">
        <v>775</v>
      </c>
      <c r="E233" s="24" t="s">
        <v>91</v>
      </c>
      <c r="F233" s="24" t="s">
        <v>673</v>
      </c>
      <c r="G233" s="24">
        <f t="shared" si="29"/>
        <v>7</v>
      </c>
      <c r="H233" s="12"/>
      <c r="I233" s="23"/>
      <c r="J233" s="23" t="s">
        <v>712</v>
      </c>
      <c r="K233" s="23" t="s">
        <v>713</v>
      </c>
      <c r="L233" s="23"/>
      <c r="M233" s="23" t="s">
        <v>776</v>
      </c>
      <c r="N233" s="23"/>
      <c r="O233" s="23"/>
      <c r="P233" s="23"/>
      <c r="Q233" s="23"/>
      <c r="R233" s="25"/>
      <c r="S233" s="25"/>
      <c r="T233" s="25"/>
      <c r="U233" s="25" t="s">
        <v>715</v>
      </c>
      <c r="V233" s="23"/>
      <c r="W233" s="23"/>
      <c r="X233" s="23"/>
      <c r="Y233" s="23"/>
      <c r="Z233" s="23"/>
    </row>
    <row r="234" spans="1:26" ht="15.75" hidden="1" outlineLevel="2" x14ac:dyDescent="0.2">
      <c r="A234" s="61"/>
      <c r="B234" s="23"/>
      <c r="C234" s="125" t="s">
        <v>109</v>
      </c>
      <c r="D234" s="23" t="s">
        <v>777</v>
      </c>
      <c r="E234" s="24" t="s">
        <v>91</v>
      </c>
      <c r="F234" s="24" t="s">
        <v>673</v>
      </c>
      <c r="G234" s="24">
        <f t="shared" si="29"/>
        <v>7</v>
      </c>
      <c r="H234" s="10" t="s">
        <v>778</v>
      </c>
      <c r="I234" s="23"/>
      <c r="J234" s="23"/>
      <c r="K234" s="23"/>
      <c r="L234" s="23"/>
      <c r="M234" s="23" t="s">
        <v>779</v>
      </c>
      <c r="N234" s="23"/>
      <c r="O234" s="23"/>
      <c r="P234" s="23"/>
      <c r="Q234" s="23"/>
      <c r="R234" s="25" t="str">
        <f t="shared" ref="R234:R240" si="34">IF(E234="no", H234, CONCATENATE(G234,". &lt;br&gt;",H234))</f>
        <v>check sum of %</v>
      </c>
      <c r="S234" s="25" t="s">
        <v>780</v>
      </c>
      <c r="T234" s="25"/>
      <c r="U234" s="25"/>
      <c r="V234" s="26"/>
      <c r="W234" s="26"/>
      <c r="X234" s="26"/>
      <c r="Y234" s="26"/>
      <c r="Z234" s="26"/>
    </row>
    <row r="235" spans="1:26" ht="51" hidden="1" outlineLevel="2" x14ac:dyDescent="0.2">
      <c r="A235" s="136"/>
      <c r="B235" s="23"/>
      <c r="C235" s="125" t="s">
        <v>76</v>
      </c>
      <c r="D235" s="23" t="s">
        <v>781</v>
      </c>
      <c r="E235" s="24" t="s">
        <v>91</v>
      </c>
      <c r="F235" s="24" t="s">
        <v>673</v>
      </c>
      <c r="G235" s="24">
        <f t="shared" si="29"/>
        <v>7</v>
      </c>
      <c r="H235" s="12" t="s">
        <v>782</v>
      </c>
      <c r="I235" s="23"/>
      <c r="J235" s="23"/>
      <c r="K235" s="23"/>
      <c r="L235" s="23" t="s">
        <v>783</v>
      </c>
      <c r="M235" s="23"/>
      <c r="N235" s="23"/>
      <c r="O235" s="23"/>
      <c r="P235" s="23"/>
      <c r="Q235" s="23"/>
      <c r="R235" s="25" t="str">
        <f t="shared" si="34"/>
        <v>&lt;font color=blue&gt;&lt;h4&gt;&lt;b&gt;Interviewer: &lt;/b&gt;&lt;/h4&gt;&lt;br&gt;
&lt;br&gt;&lt;b&gt; The proportion of products by supplier types should equal 100%. &lt;/b&gt;&lt;br&gt;
&lt;br&gt;The current total entered is ${p34b_check}%. 
&lt;br&gt;&lt;font color=red&gt;&lt;br&gt;Please go back.</v>
      </c>
      <c r="S235" s="25" t="s">
        <v>784</v>
      </c>
      <c r="T235" s="25"/>
      <c r="U235" s="25"/>
      <c r="V235" s="26"/>
      <c r="W235" s="26"/>
      <c r="X235" s="26"/>
      <c r="Y235" s="26"/>
      <c r="Z235" s="26"/>
    </row>
    <row r="236" spans="1:26" ht="63.75" hidden="1" outlineLevel="2" x14ac:dyDescent="0.2">
      <c r="A236" s="66"/>
      <c r="B236" s="12"/>
      <c r="C236" s="114" t="s">
        <v>785</v>
      </c>
      <c r="D236" s="10" t="s">
        <v>786</v>
      </c>
      <c r="E236" s="15" t="s">
        <v>83</v>
      </c>
      <c r="F236" s="15" t="s">
        <v>673</v>
      </c>
      <c r="G236" s="15">
        <f t="shared" si="29"/>
        <v>8</v>
      </c>
      <c r="H236" s="10" t="s">
        <v>787</v>
      </c>
      <c r="I236" s="10"/>
      <c r="J236" s="10"/>
      <c r="K236" s="10" t="s">
        <v>342</v>
      </c>
      <c r="L236" s="10" t="s">
        <v>788</v>
      </c>
      <c r="M236" s="10"/>
      <c r="N236" s="10"/>
      <c r="O236" s="10"/>
      <c r="P236" s="10" t="s">
        <v>83</v>
      </c>
      <c r="Q236" s="10"/>
      <c r="R236" s="11" t="str">
        <f t="shared" si="34"/>
        <v>8. &lt;br&gt;&lt;b&gt; You sell to TERMINAL WHOLESALERS who sell to individual clients ONLY:&lt;/b&gt;&lt;br&gt;
What types of &lt;b&gt;TERMINAL WHOLESALERS&lt;/b&gt; do you sell to?</v>
      </c>
      <c r="S236" s="11" t="s">
        <v>789</v>
      </c>
      <c r="T236" s="11"/>
      <c r="U236" s="11"/>
      <c r="V236" s="12"/>
      <c r="W236" s="12"/>
      <c r="X236" s="12"/>
      <c r="Y236" s="12"/>
      <c r="Z236" s="12"/>
    </row>
    <row r="237" spans="1:26" ht="63.75" hidden="1" outlineLevel="2" x14ac:dyDescent="0.2">
      <c r="A237" s="20"/>
      <c r="B237" s="12"/>
      <c r="C237" s="114" t="s">
        <v>785</v>
      </c>
      <c r="D237" s="10" t="s">
        <v>790</v>
      </c>
      <c r="E237" s="15" t="s">
        <v>83</v>
      </c>
      <c r="F237" s="15" t="s">
        <v>673</v>
      </c>
      <c r="G237" s="15">
        <f t="shared" si="29"/>
        <v>9</v>
      </c>
      <c r="H237" s="12" t="s">
        <v>791</v>
      </c>
      <c r="I237" s="10"/>
      <c r="J237" s="10"/>
      <c r="K237" s="10"/>
      <c r="L237" s="10" t="s">
        <v>792</v>
      </c>
      <c r="M237" s="10"/>
      <c r="N237" s="10"/>
      <c r="O237" s="10"/>
      <c r="P237" s="10" t="s">
        <v>83</v>
      </c>
      <c r="Q237" s="10"/>
      <c r="R237" s="11" t="str">
        <f t="shared" si="34"/>
        <v xml:space="preserve">9. &lt;br&gt;&lt;b&gt; You sell to INTERMEDIATE WHOLESALERS who sell to other businesses, not to patients/ individual customers:&lt;/b&gt;&lt;br&gt;
What types of outlets/ businesses/ providers that re-sell your products do you sell to? </v>
      </c>
      <c r="S237" s="11" t="s">
        <v>793</v>
      </c>
      <c r="T237" s="11"/>
      <c r="U237" s="11"/>
      <c r="V237" s="12"/>
      <c r="W237" s="12"/>
      <c r="X237" s="12"/>
      <c r="Y237" s="12"/>
      <c r="Z237" s="12"/>
    </row>
    <row r="238" spans="1:26" ht="25.5" hidden="1" outlineLevel="2" x14ac:dyDescent="0.2">
      <c r="A238" s="8"/>
      <c r="B238" s="38"/>
      <c r="C238" s="114" t="s">
        <v>794</v>
      </c>
      <c r="D238" s="10" t="s">
        <v>795</v>
      </c>
      <c r="E238" s="15" t="s">
        <v>83</v>
      </c>
      <c r="F238" s="15" t="s">
        <v>673</v>
      </c>
      <c r="G238" s="15">
        <f t="shared" si="29"/>
        <v>10</v>
      </c>
      <c r="H238" s="10" t="s">
        <v>796</v>
      </c>
      <c r="I238" s="10"/>
      <c r="J238" s="10"/>
      <c r="K238" s="10" t="s">
        <v>342</v>
      </c>
      <c r="L238" s="10"/>
      <c r="M238" s="10"/>
      <c r="N238" s="10"/>
      <c r="O238" s="10"/>
      <c r="P238" s="10" t="s">
        <v>83</v>
      </c>
      <c r="Q238" s="10"/>
      <c r="R238" s="11" t="str">
        <f t="shared" si="34"/>
        <v>10. &lt;br&gt;Where are your customers located?  i.e where do they come from to buy your products?</v>
      </c>
      <c r="S238" s="11" t="s">
        <v>797</v>
      </c>
      <c r="T238" s="11"/>
      <c r="U238" s="11"/>
      <c r="V238" s="12"/>
      <c r="W238" s="12"/>
      <c r="X238" s="12"/>
      <c r="Y238" s="12"/>
      <c r="Z238" s="12"/>
    </row>
    <row r="239" spans="1:26" ht="79.5" hidden="1" customHeight="1" outlineLevel="2" x14ac:dyDescent="0.2">
      <c r="A239" s="60" t="s">
        <v>798</v>
      </c>
      <c r="B239" s="12"/>
      <c r="C239" s="123" t="s">
        <v>799</v>
      </c>
      <c r="D239" s="10" t="s">
        <v>800</v>
      </c>
      <c r="E239" s="15" t="s">
        <v>83</v>
      </c>
      <c r="F239" s="15" t="s">
        <v>673</v>
      </c>
      <c r="G239" s="15">
        <f t="shared" si="29"/>
        <v>11</v>
      </c>
      <c r="H239" s="10" t="s">
        <v>801</v>
      </c>
      <c r="I239" s="10" t="s">
        <v>654</v>
      </c>
      <c r="J239" s="10"/>
      <c r="K239" s="10"/>
      <c r="L239" s="10"/>
      <c r="M239" s="10"/>
      <c r="N239" s="10" t="s">
        <v>411</v>
      </c>
      <c r="O239" s="10"/>
      <c r="P239" s="10" t="s">
        <v>83</v>
      </c>
      <c r="Q239" s="10"/>
      <c r="R239" s="11" t="str">
        <f t="shared" si="34"/>
        <v>11. &lt;br&gt;How do you distribute your antimalarials/RDTs products ?</v>
      </c>
      <c r="S239" s="11" t="s">
        <v>802</v>
      </c>
      <c r="T239" s="11" t="s">
        <v>803</v>
      </c>
      <c r="U239" s="11"/>
      <c r="V239" s="12"/>
      <c r="W239" s="12"/>
      <c r="X239" s="12"/>
      <c r="Y239" s="12"/>
      <c r="Z239" s="12"/>
    </row>
    <row r="240" spans="1:26" ht="25.5" hidden="1" outlineLevel="2" x14ac:dyDescent="0.2">
      <c r="A240" s="136"/>
      <c r="B240" s="12"/>
      <c r="C240" s="123" t="s">
        <v>144</v>
      </c>
      <c r="D240" s="10" t="s">
        <v>804</v>
      </c>
      <c r="E240" s="15" t="s">
        <v>91</v>
      </c>
      <c r="F240" s="15" t="s">
        <v>673</v>
      </c>
      <c r="G240" s="15">
        <f t="shared" si="29"/>
        <v>11</v>
      </c>
      <c r="H240" s="10" t="s">
        <v>805</v>
      </c>
      <c r="I240" s="10"/>
      <c r="J240" s="10"/>
      <c r="K240" s="10"/>
      <c r="L240" s="10" t="s">
        <v>806</v>
      </c>
      <c r="M240" s="10"/>
      <c r="N240" s="10"/>
      <c r="O240" s="10"/>
      <c r="P240" s="10" t="s">
        <v>83</v>
      </c>
      <c r="Q240" s="10"/>
      <c r="R240" s="11" t="str">
        <f t="shared" si="34"/>
        <v>Specify other distribution method(s):</v>
      </c>
      <c r="S240" s="11" t="s">
        <v>807</v>
      </c>
      <c r="T240" s="11"/>
      <c r="U240" s="11"/>
      <c r="V240" s="12"/>
      <c r="W240" s="12"/>
      <c r="X240" s="12"/>
      <c r="Y240" s="12"/>
      <c r="Z240" s="12"/>
    </row>
    <row r="241" spans="1:26" ht="15.75" hidden="1" outlineLevel="2" x14ac:dyDescent="0.2">
      <c r="A241" s="28"/>
      <c r="B241" s="10"/>
      <c r="C241" s="114" t="s">
        <v>174</v>
      </c>
      <c r="D241" s="10" t="s">
        <v>677</v>
      </c>
      <c r="E241" s="15" t="s">
        <v>91</v>
      </c>
      <c r="F241" s="15" t="s">
        <v>673</v>
      </c>
      <c r="G241" s="15">
        <f t="shared" si="29"/>
        <v>11</v>
      </c>
      <c r="H241" s="10"/>
      <c r="I241" s="10"/>
      <c r="J241" s="10"/>
      <c r="K241" s="10"/>
      <c r="L241" s="10"/>
      <c r="M241" s="10"/>
      <c r="N241" s="10"/>
      <c r="O241" s="10"/>
      <c r="P241" s="10"/>
      <c r="Q241" s="10"/>
      <c r="R241" s="11"/>
      <c r="S241" s="11"/>
      <c r="T241" s="11"/>
      <c r="U241" s="11"/>
      <c r="V241" s="12"/>
      <c r="W241" s="12"/>
      <c r="X241" s="12"/>
      <c r="Y241" s="12"/>
      <c r="Z241" s="12"/>
    </row>
    <row r="242" spans="1:26" ht="15.75" hidden="1" outlineLevel="2" x14ac:dyDescent="0.2">
      <c r="A242" s="28"/>
      <c r="B242" s="10"/>
      <c r="C242" s="114"/>
      <c r="D242" s="10"/>
      <c r="E242" s="15"/>
      <c r="F242" s="15"/>
      <c r="G242" s="15"/>
      <c r="H242" s="10"/>
      <c r="I242" s="10"/>
      <c r="J242" s="10"/>
      <c r="K242" s="10"/>
      <c r="L242" s="10"/>
      <c r="M242" s="10"/>
      <c r="N242" s="10"/>
      <c r="O242" s="10"/>
      <c r="P242" s="10"/>
      <c r="Q242" s="10"/>
      <c r="R242" s="11"/>
      <c r="S242" s="11"/>
      <c r="T242" s="11"/>
      <c r="U242" s="11"/>
      <c r="V242" s="12"/>
      <c r="W242" s="12"/>
      <c r="X242" s="12"/>
      <c r="Y242" s="12"/>
      <c r="Z242" s="12"/>
    </row>
    <row r="243" spans="1:26" ht="15.75" hidden="1" outlineLevel="2" x14ac:dyDescent="0.2">
      <c r="A243" s="8" t="s">
        <v>808</v>
      </c>
      <c r="B243" s="12"/>
      <c r="C243" s="123"/>
      <c r="D243" s="12"/>
      <c r="E243" s="55"/>
      <c r="F243" s="55"/>
      <c r="G243" s="55"/>
      <c r="H243" s="12"/>
      <c r="I243" s="12"/>
      <c r="J243" s="12"/>
      <c r="K243" s="12"/>
      <c r="L243" s="12"/>
      <c r="M243" s="12"/>
      <c r="N243" s="12"/>
      <c r="O243" s="12"/>
      <c r="P243" s="12"/>
      <c r="Q243" s="12"/>
      <c r="R243" s="11"/>
      <c r="S243" s="11"/>
      <c r="T243" s="11"/>
      <c r="U243" s="11"/>
      <c r="V243" s="12"/>
      <c r="W243" s="12"/>
      <c r="X243" s="12"/>
      <c r="Y243" s="12"/>
      <c r="Z243" s="12"/>
    </row>
    <row r="244" spans="1:26" ht="77.25" customHeight="1" outlineLevel="2" x14ac:dyDescent="0.2">
      <c r="A244" s="39" t="s">
        <v>809</v>
      </c>
      <c r="B244" s="12"/>
      <c r="C244" s="123" t="s">
        <v>89</v>
      </c>
      <c r="D244" s="12" t="s">
        <v>810</v>
      </c>
      <c r="E244" s="55" t="s">
        <v>91</v>
      </c>
      <c r="F244" s="55" t="s">
        <v>811</v>
      </c>
      <c r="G244" s="55">
        <f t="shared" ref="G244:G296" si="35">IF(E244="no", G243, IF(F244=F243, G243+1, 1))</f>
        <v>0</v>
      </c>
      <c r="H244" s="137" t="s">
        <v>812</v>
      </c>
      <c r="I244" s="12"/>
      <c r="J244" s="12"/>
      <c r="K244" s="12"/>
      <c r="L244" s="12" t="s">
        <v>813</v>
      </c>
      <c r="M244" s="12"/>
      <c r="N244" s="12"/>
      <c r="O244" s="12"/>
      <c r="P244" s="12"/>
      <c r="Q244" s="12"/>
      <c r="R244" s="12" t="str">
        <f t="shared" ref="R244:R246" si="36">IF(E244="no", H244, CONCATENATE(G244,". &lt;br&gt;",H244))</f>
        <v>Antimalarial &amp; RDT suppliers</v>
      </c>
      <c r="S244" s="12" t="s">
        <v>814</v>
      </c>
      <c r="T244" s="12"/>
      <c r="U244" s="12"/>
      <c r="V244" s="12"/>
      <c r="W244" s="12"/>
      <c r="X244" s="12"/>
      <c r="Y244" s="12"/>
      <c r="Z244" s="12"/>
    </row>
    <row r="245" spans="1:26" ht="25.5" hidden="1" outlineLevel="2" x14ac:dyDescent="0.2">
      <c r="A245" s="8"/>
      <c r="B245" s="26"/>
      <c r="C245" s="125" t="s">
        <v>350</v>
      </c>
      <c r="D245" s="26" t="s">
        <v>815</v>
      </c>
      <c r="E245" s="67" t="s">
        <v>83</v>
      </c>
      <c r="F245" s="67" t="s">
        <v>811</v>
      </c>
      <c r="G245" s="67">
        <f t="shared" si="35"/>
        <v>1</v>
      </c>
      <c r="H245" s="12" t="s">
        <v>816</v>
      </c>
      <c r="I245" s="26"/>
      <c r="J245" s="26" t="s">
        <v>712</v>
      </c>
      <c r="K245" s="26" t="s">
        <v>713</v>
      </c>
      <c r="L245" s="26"/>
      <c r="M245" s="26"/>
      <c r="N245" s="26" t="s">
        <v>356</v>
      </c>
      <c r="O245" s="26"/>
      <c r="P245" s="26" t="s">
        <v>83</v>
      </c>
      <c r="Q245" s="26"/>
      <c r="R245" s="26" t="str">
        <f t="shared" si="36"/>
        <v>1. &lt;br&gt;&lt;h4&gt;Suppliers&lt;/h4&gt;&lt;br&gt; How many different suppliers have you purchased antimalarials and/or RDTs from &lt;b&gt;in the last 3 months&lt;/b&gt;?</v>
      </c>
      <c r="S245" s="26" t="s">
        <v>817</v>
      </c>
      <c r="T245" s="26"/>
      <c r="U245" s="26" t="s">
        <v>715</v>
      </c>
      <c r="V245" s="26"/>
      <c r="W245" s="26"/>
      <c r="X245" s="26"/>
      <c r="Y245" s="26"/>
      <c r="Z245" s="26"/>
    </row>
    <row r="246" spans="1:26" ht="51" hidden="1" outlineLevel="2" x14ac:dyDescent="0.2">
      <c r="A246" s="8"/>
      <c r="B246" s="26"/>
      <c r="C246" s="125" t="s">
        <v>76</v>
      </c>
      <c r="D246" s="26" t="s">
        <v>818</v>
      </c>
      <c r="E246" s="67" t="s">
        <v>91</v>
      </c>
      <c r="F246" s="67" t="s">
        <v>811</v>
      </c>
      <c r="G246" s="67">
        <f t="shared" si="35"/>
        <v>1</v>
      </c>
      <c r="H246" s="12" t="s">
        <v>819</v>
      </c>
      <c r="I246" s="26"/>
      <c r="J246" s="26"/>
      <c r="K246" s="26"/>
      <c r="L246" s="26" t="s">
        <v>820</v>
      </c>
      <c r="M246" s="26"/>
      <c r="N246" s="26"/>
      <c r="O246" s="26"/>
      <c r="P246" s="26"/>
      <c r="Q246" s="26"/>
      <c r="R246" s="26" t="str">
        <f t="shared" si="36"/>
        <v>&lt;font color="red"&gt;&lt;b&gt;Interviewer: &lt;/b&gt;
&lt;i&gt;Confirm &lt;font color="blue"&gt;${sa1}&lt;/font&gt; is the correct number of different suppliers&lt;b&gt; the respondent has reported using for malaria commodities in the last 3 months&lt;/b&gt; before proceeding&lt;/i&gt;</v>
      </c>
      <c r="S246" s="26" t="s">
        <v>821</v>
      </c>
      <c r="T246" s="26"/>
      <c r="U246" s="26"/>
      <c r="V246" s="26"/>
      <c r="W246" s="26"/>
      <c r="X246" s="26"/>
      <c r="Y246" s="26"/>
      <c r="Z246" s="26"/>
    </row>
    <row r="247" spans="1:26" ht="15.75" outlineLevel="2" x14ac:dyDescent="0.2">
      <c r="A247" s="8"/>
      <c r="B247" s="26"/>
      <c r="C247" s="125" t="s">
        <v>89</v>
      </c>
      <c r="D247" s="26" t="s">
        <v>822</v>
      </c>
      <c r="E247" s="67" t="s">
        <v>91</v>
      </c>
      <c r="F247" s="67" t="s">
        <v>811</v>
      </c>
      <c r="G247" s="67">
        <f t="shared" si="35"/>
        <v>1</v>
      </c>
      <c r="H247" s="12"/>
      <c r="I247" s="26"/>
      <c r="J247" s="26"/>
      <c r="K247" s="26"/>
      <c r="L247" s="26"/>
      <c r="M247" s="26"/>
      <c r="N247" s="26" t="s">
        <v>199</v>
      </c>
      <c r="O247" s="26"/>
      <c r="P247" s="26"/>
      <c r="Q247" s="26"/>
      <c r="R247" s="26"/>
      <c r="S247" s="26"/>
      <c r="T247" s="26"/>
      <c r="U247" s="26"/>
      <c r="V247" s="26"/>
      <c r="W247" s="26"/>
      <c r="X247" s="26"/>
      <c r="Y247" s="26"/>
      <c r="Z247" s="26"/>
    </row>
    <row r="248" spans="1:26" ht="25.5" hidden="1" outlineLevel="2" x14ac:dyDescent="0.2">
      <c r="A248" s="8"/>
      <c r="B248" s="26"/>
      <c r="C248" s="125" t="s">
        <v>223</v>
      </c>
      <c r="D248" s="26" t="s">
        <v>823</v>
      </c>
      <c r="E248" s="67" t="s">
        <v>83</v>
      </c>
      <c r="F248" s="67" t="s">
        <v>811</v>
      </c>
      <c r="G248" s="67">
        <f t="shared" si="35"/>
        <v>2</v>
      </c>
      <c r="H248" s="12" t="s">
        <v>824</v>
      </c>
      <c r="I248" s="26" t="s">
        <v>825</v>
      </c>
      <c r="J248" s="26"/>
      <c r="K248" s="26"/>
      <c r="L248" s="26"/>
      <c r="M248" s="26"/>
      <c r="N248" s="26" t="s">
        <v>608</v>
      </c>
      <c r="O248" s="26"/>
      <c r="P248" s="26"/>
      <c r="Q248" s="26"/>
      <c r="R248" s="26" t="str">
        <f t="shared" ref="R248:R256" si="37">IF(E248="no", H248, CONCATENATE(G248,". &lt;br&gt;",H248))</f>
        <v>2. &lt;br&gt;&lt;b&gt;What types of suppliers does this outlet/ business use to purchase antimalarials and/or RDTs?&lt;/b&gt;</v>
      </c>
      <c r="S248" s="26" t="s">
        <v>826</v>
      </c>
      <c r="T248" s="26" t="s">
        <v>827</v>
      </c>
      <c r="U248" s="26"/>
      <c r="V248" s="26"/>
      <c r="W248" s="26"/>
      <c r="X248" s="26"/>
      <c r="Y248" s="26"/>
      <c r="Z248" s="26"/>
    </row>
    <row r="249" spans="1:26" ht="15.75" hidden="1" outlineLevel="2" x14ac:dyDescent="0.2">
      <c r="A249" s="8"/>
      <c r="B249" s="26"/>
      <c r="C249" s="125" t="s">
        <v>223</v>
      </c>
      <c r="D249" s="26" t="s">
        <v>828</v>
      </c>
      <c r="E249" s="67" t="s">
        <v>91</v>
      </c>
      <c r="F249" s="67" t="s">
        <v>811</v>
      </c>
      <c r="G249" s="67">
        <f t="shared" si="35"/>
        <v>2</v>
      </c>
      <c r="H249" s="12" t="s">
        <v>829</v>
      </c>
      <c r="I249" s="26"/>
      <c r="J249" s="26" t="s">
        <v>712</v>
      </c>
      <c r="K249" s="26" t="s">
        <v>713</v>
      </c>
      <c r="L249" s="26"/>
      <c r="M249" s="26"/>
      <c r="N249" s="26" t="s">
        <v>613</v>
      </c>
      <c r="O249" s="26"/>
      <c r="P249" s="26" t="s">
        <v>83</v>
      </c>
      <c r="Q249" s="26">
        <v>0</v>
      </c>
      <c r="R249" s="26" t="str">
        <f t="shared" si="37"/>
        <v>Importer</v>
      </c>
      <c r="S249" s="26" t="s">
        <v>830</v>
      </c>
      <c r="T249" s="26"/>
      <c r="U249" s="26" t="s">
        <v>715</v>
      </c>
      <c r="V249" s="26"/>
      <c r="W249" s="26"/>
      <c r="X249" s="26"/>
      <c r="Y249" s="26"/>
      <c r="Z249" s="26"/>
    </row>
    <row r="250" spans="1:26" ht="15.75" hidden="1" outlineLevel="2" x14ac:dyDescent="0.2">
      <c r="A250" s="8"/>
      <c r="B250" s="26"/>
      <c r="C250" s="125" t="s">
        <v>223</v>
      </c>
      <c r="D250" s="26" t="s">
        <v>831</v>
      </c>
      <c r="E250" s="67" t="s">
        <v>91</v>
      </c>
      <c r="F250" s="67" t="s">
        <v>811</v>
      </c>
      <c r="G250" s="67">
        <f t="shared" si="35"/>
        <v>2</v>
      </c>
      <c r="H250" s="12" t="s">
        <v>832</v>
      </c>
      <c r="I250" s="26"/>
      <c r="J250" s="26" t="s">
        <v>712</v>
      </c>
      <c r="K250" s="26" t="s">
        <v>713</v>
      </c>
      <c r="L250" s="26"/>
      <c r="M250" s="26"/>
      <c r="N250" s="26" t="s">
        <v>613</v>
      </c>
      <c r="O250" s="26"/>
      <c r="P250" s="26" t="s">
        <v>83</v>
      </c>
      <c r="Q250" s="26">
        <v>0</v>
      </c>
      <c r="R250" s="26" t="str">
        <f t="shared" si="37"/>
        <v>INTERNATIONAL manufacturer</v>
      </c>
      <c r="S250" s="26" t="s">
        <v>833</v>
      </c>
      <c r="T250" s="26"/>
      <c r="U250" s="26" t="s">
        <v>715</v>
      </c>
      <c r="V250" s="26"/>
      <c r="W250" s="26"/>
      <c r="X250" s="26"/>
      <c r="Y250" s="26"/>
      <c r="Z250" s="26"/>
    </row>
    <row r="251" spans="1:26" ht="15.75" hidden="1" outlineLevel="2" x14ac:dyDescent="0.2">
      <c r="A251" s="8"/>
      <c r="B251" s="26"/>
      <c r="C251" s="125" t="s">
        <v>223</v>
      </c>
      <c r="D251" s="26" t="s">
        <v>834</v>
      </c>
      <c r="E251" s="67" t="s">
        <v>91</v>
      </c>
      <c r="F251" s="67" t="s">
        <v>811</v>
      </c>
      <c r="G251" s="67">
        <f t="shared" si="35"/>
        <v>2</v>
      </c>
      <c r="H251" s="12" t="s">
        <v>835</v>
      </c>
      <c r="I251" s="26"/>
      <c r="J251" s="26" t="s">
        <v>712</v>
      </c>
      <c r="K251" s="26" t="s">
        <v>713</v>
      </c>
      <c r="L251" s="26"/>
      <c r="M251" s="26"/>
      <c r="N251" s="26" t="s">
        <v>613</v>
      </c>
      <c r="O251" s="26"/>
      <c r="P251" s="26" t="s">
        <v>83</v>
      </c>
      <c r="Q251" s="26">
        <v>0</v>
      </c>
      <c r="R251" s="26" t="str">
        <f t="shared" si="37"/>
        <v>LOCAL manufacturer</v>
      </c>
      <c r="S251" s="26" t="s">
        <v>836</v>
      </c>
      <c r="T251" s="26"/>
      <c r="U251" s="26" t="s">
        <v>715</v>
      </c>
      <c r="V251" s="26"/>
      <c r="W251" s="26"/>
      <c r="X251" s="26"/>
      <c r="Y251" s="26"/>
      <c r="Z251" s="26"/>
    </row>
    <row r="252" spans="1:26" ht="15.75" hidden="1" outlineLevel="2" x14ac:dyDescent="0.2">
      <c r="A252" s="8"/>
      <c r="B252" s="26"/>
      <c r="C252" s="125" t="s">
        <v>223</v>
      </c>
      <c r="D252" s="26" t="s">
        <v>837</v>
      </c>
      <c r="E252" s="67" t="s">
        <v>91</v>
      </c>
      <c r="F252" s="67" t="s">
        <v>811</v>
      </c>
      <c r="G252" s="67">
        <f t="shared" si="35"/>
        <v>2</v>
      </c>
      <c r="H252" s="12" t="s">
        <v>838</v>
      </c>
      <c r="I252" s="26"/>
      <c r="J252" s="26" t="s">
        <v>712</v>
      </c>
      <c r="K252" s="26" t="s">
        <v>713</v>
      </c>
      <c r="L252" s="26"/>
      <c r="M252" s="26"/>
      <c r="N252" s="26" t="s">
        <v>613</v>
      </c>
      <c r="O252" s="26"/>
      <c r="P252" s="26" t="s">
        <v>83</v>
      </c>
      <c r="Q252" s="26">
        <v>0</v>
      </c>
      <c r="R252" s="26" t="str">
        <f t="shared" si="37"/>
        <v>Distributor</v>
      </c>
      <c r="S252" s="26" t="s">
        <v>839</v>
      </c>
      <c r="T252" s="26"/>
      <c r="U252" s="26" t="s">
        <v>715</v>
      </c>
      <c r="V252" s="26"/>
      <c r="W252" s="26"/>
      <c r="X252" s="26"/>
      <c r="Y252" s="26"/>
      <c r="Z252" s="26"/>
    </row>
    <row r="253" spans="1:26" ht="15.75" hidden="1" outlineLevel="2" x14ac:dyDescent="0.2">
      <c r="A253" s="8"/>
      <c r="B253" s="26"/>
      <c r="C253" s="125" t="s">
        <v>223</v>
      </c>
      <c r="D253" s="26" t="s">
        <v>840</v>
      </c>
      <c r="E253" s="67" t="s">
        <v>91</v>
      </c>
      <c r="F253" s="67" t="s">
        <v>811</v>
      </c>
      <c r="G253" s="67">
        <f t="shared" si="35"/>
        <v>2</v>
      </c>
      <c r="H253" s="12" t="s">
        <v>841</v>
      </c>
      <c r="I253" s="26"/>
      <c r="J253" s="26" t="s">
        <v>712</v>
      </c>
      <c r="K253" s="26" t="s">
        <v>713</v>
      </c>
      <c r="L253" s="26"/>
      <c r="M253" s="26"/>
      <c r="N253" s="26" t="s">
        <v>613</v>
      </c>
      <c r="O253" s="26"/>
      <c r="P253" s="26" t="s">
        <v>83</v>
      </c>
      <c r="Q253" s="26">
        <v>0</v>
      </c>
      <c r="R253" s="26" t="str">
        <f t="shared" si="37"/>
        <v>Pharmacy</v>
      </c>
      <c r="S253" s="26" t="s">
        <v>842</v>
      </c>
      <c r="T253" s="26"/>
      <c r="U253" s="26" t="s">
        <v>715</v>
      </c>
      <c r="V253" s="26"/>
      <c r="W253" s="26"/>
      <c r="X253" s="26"/>
      <c r="Y253" s="26"/>
      <c r="Z253" s="26"/>
    </row>
    <row r="254" spans="1:26" ht="15.75" hidden="1" outlineLevel="2" x14ac:dyDescent="0.2">
      <c r="A254" s="8"/>
      <c r="B254" s="26"/>
      <c r="C254" s="125" t="s">
        <v>223</v>
      </c>
      <c r="D254" s="26" t="s">
        <v>843</v>
      </c>
      <c r="E254" s="67" t="s">
        <v>91</v>
      </c>
      <c r="F254" s="67" t="s">
        <v>811</v>
      </c>
      <c r="G254" s="67">
        <f t="shared" si="35"/>
        <v>2</v>
      </c>
      <c r="H254" s="12" t="s">
        <v>844</v>
      </c>
      <c r="I254" s="26"/>
      <c r="J254" s="26" t="s">
        <v>712</v>
      </c>
      <c r="K254" s="26" t="s">
        <v>713</v>
      </c>
      <c r="L254" s="26"/>
      <c r="M254" s="26"/>
      <c r="N254" s="26" t="s">
        <v>613</v>
      </c>
      <c r="O254" s="26"/>
      <c r="P254" s="26" t="s">
        <v>83</v>
      </c>
      <c r="Q254" s="26">
        <v>0</v>
      </c>
      <c r="R254" s="26" t="str">
        <f t="shared" si="37"/>
        <v>Public sector supply chain</v>
      </c>
      <c r="S254" s="26" t="s">
        <v>845</v>
      </c>
      <c r="T254" s="26"/>
      <c r="U254" s="26" t="s">
        <v>715</v>
      </c>
      <c r="V254" s="26"/>
      <c r="W254" s="26"/>
      <c r="X254" s="26"/>
      <c r="Y254" s="26"/>
      <c r="Z254" s="26"/>
    </row>
    <row r="255" spans="1:26" ht="15.75" hidden="1" outlineLevel="2" x14ac:dyDescent="0.2">
      <c r="A255" s="8"/>
      <c r="B255" s="26"/>
      <c r="C255" s="125" t="s">
        <v>223</v>
      </c>
      <c r="D255" s="26" t="s">
        <v>846</v>
      </c>
      <c r="E255" s="67" t="s">
        <v>91</v>
      </c>
      <c r="F255" s="67" t="s">
        <v>811</v>
      </c>
      <c r="G255" s="67">
        <f t="shared" si="35"/>
        <v>2</v>
      </c>
      <c r="H255" s="12" t="s">
        <v>847</v>
      </c>
      <c r="I255" s="26"/>
      <c r="J255" s="26" t="s">
        <v>712</v>
      </c>
      <c r="K255" s="26" t="s">
        <v>713</v>
      </c>
      <c r="L255" s="26"/>
      <c r="M255" s="26"/>
      <c r="N255" s="26" t="s">
        <v>613</v>
      </c>
      <c r="O255" s="26"/>
      <c r="P255" s="26" t="s">
        <v>83</v>
      </c>
      <c r="Q255" s="26">
        <v>0</v>
      </c>
      <c r="R255" s="26" t="str">
        <f t="shared" si="37"/>
        <v>Other private outlet/ shop</v>
      </c>
      <c r="S255" s="26" t="s">
        <v>848</v>
      </c>
      <c r="T255" s="26"/>
      <c r="U255" s="26" t="s">
        <v>715</v>
      </c>
      <c r="V255" s="26"/>
      <c r="W255" s="26"/>
      <c r="X255" s="26"/>
      <c r="Y255" s="26"/>
      <c r="Z255" s="26"/>
    </row>
    <row r="256" spans="1:26" ht="15.75" hidden="1" outlineLevel="2" x14ac:dyDescent="0.2">
      <c r="A256" s="8"/>
      <c r="B256" s="26"/>
      <c r="C256" s="125" t="s">
        <v>223</v>
      </c>
      <c r="D256" s="26" t="s">
        <v>849</v>
      </c>
      <c r="E256" s="67" t="s">
        <v>91</v>
      </c>
      <c r="F256" s="67" t="s">
        <v>811</v>
      </c>
      <c r="G256" s="67">
        <f t="shared" si="35"/>
        <v>2</v>
      </c>
      <c r="H256" s="12" t="s">
        <v>850</v>
      </c>
      <c r="I256" s="26"/>
      <c r="J256" s="26" t="s">
        <v>712</v>
      </c>
      <c r="K256" s="26" t="s">
        <v>713</v>
      </c>
      <c r="L256" s="26"/>
      <c r="M256" s="26"/>
      <c r="N256" s="26" t="s">
        <v>613</v>
      </c>
      <c r="O256" s="26"/>
      <c r="P256" s="26" t="s">
        <v>83</v>
      </c>
      <c r="Q256" s="26">
        <v>0</v>
      </c>
      <c r="R256" s="26" t="str">
        <f t="shared" si="37"/>
        <v>Any other source</v>
      </c>
      <c r="S256" s="26" t="s">
        <v>851</v>
      </c>
      <c r="T256" s="26"/>
      <c r="U256" s="26" t="s">
        <v>715</v>
      </c>
      <c r="V256" s="26"/>
      <c r="W256" s="26"/>
      <c r="X256" s="26"/>
      <c r="Y256" s="26"/>
      <c r="Z256" s="26"/>
    </row>
    <row r="257" spans="1:26" ht="15.75" hidden="1" outlineLevel="2" x14ac:dyDescent="0.2">
      <c r="A257" s="8"/>
      <c r="B257" s="26"/>
      <c r="C257" s="125" t="s">
        <v>174</v>
      </c>
      <c r="D257" s="26" t="s">
        <v>822</v>
      </c>
      <c r="E257" s="67" t="s">
        <v>91</v>
      </c>
      <c r="F257" s="67" t="s">
        <v>811</v>
      </c>
      <c r="G257" s="67">
        <f t="shared" si="35"/>
        <v>2</v>
      </c>
      <c r="H257" s="12"/>
      <c r="I257" s="26"/>
      <c r="J257" s="26"/>
      <c r="K257" s="26"/>
      <c r="L257" s="26"/>
      <c r="M257" s="26"/>
      <c r="N257" s="26"/>
      <c r="O257" s="26"/>
      <c r="P257" s="26"/>
      <c r="Q257" s="26"/>
      <c r="R257" s="26"/>
      <c r="S257" s="26"/>
      <c r="T257" s="26"/>
      <c r="U257" s="26"/>
      <c r="V257" s="26"/>
      <c r="W257" s="26"/>
      <c r="X257" s="26"/>
      <c r="Y257" s="26"/>
      <c r="Z257" s="26"/>
    </row>
    <row r="258" spans="1:26" ht="15.75" hidden="1" outlineLevel="2" x14ac:dyDescent="0.2">
      <c r="A258" s="8"/>
      <c r="B258" s="26"/>
      <c r="C258" s="125" t="s">
        <v>144</v>
      </c>
      <c r="D258" s="26" t="s">
        <v>852</v>
      </c>
      <c r="E258" s="67" t="s">
        <v>91</v>
      </c>
      <c r="F258" s="67" t="s">
        <v>811</v>
      </c>
      <c r="G258" s="67">
        <f t="shared" si="35"/>
        <v>2</v>
      </c>
      <c r="H258" s="12" t="s">
        <v>853</v>
      </c>
      <c r="I258" s="26"/>
      <c r="J258" s="26"/>
      <c r="K258" s="26"/>
      <c r="L258" s="26" t="s">
        <v>854</v>
      </c>
      <c r="M258" s="26"/>
      <c r="N258" s="26"/>
      <c r="O258" s="26"/>
      <c r="P258" s="26"/>
      <c r="Q258" s="26"/>
      <c r="R258" s="26" t="str">
        <f t="shared" ref="R258:R259" si="38">IF(E258="no", H258, CONCATENATE(G258,". &lt;br&gt;",H258))</f>
        <v>Other type of supplier?</v>
      </c>
      <c r="S258" s="26" t="s">
        <v>855</v>
      </c>
      <c r="T258" s="26"/>
      <c r="U258" s="26"/>
      <c r="V258" s="26"/>
      <c r="W258" s="26"/>
      <c r="X258" s="26"/>
      <c r="Y258" s="26"/>
      <c r="Z258" s="26"/>
    </row>
    <row r="259" spans="1:26" ht="38.25" hidden="1" outlineLevel="2" x14ac:dyDescent="0.2">
      <c r="A259" s="8"/>
      <c r="B259" s="26"/>
      <c r="C259" s="125" t="s">
        <v>182</v>
      </c>
      <c r="D259" s="26" t="s">
        <v>856</v>
      </c>
      <c r="E259" s="67" t="s">
        <v>83</v>
      </c>
      <c r="F259" s="67" t="s">
        <v>811</v>
      </c>
      <c r="G259" s="67">
        <f t="shared" si="35"/>
        <v>3</v>
      </c>
      <c r="H259" s="12" t="s">
        <v>857</v>
      </c>
      <c r="I259" s="26" t="s">
        <v>858</v>
      </c>
      <c r="J259" s="26"/>
      <c r="K259" s="26"/>
      <c r="L259" s="26" t="s">
        <v>859</v>
      </c>
      <c r="M259" s="26"/>
      <c r="N259" s="26"/>
      <c r="O259" s="26"/>
      <c r="P259" s="26" t="s">
        <v>83</v>
      </c>
      <c r="Q259" s="26"/>
      <c r="R259" s="26" t="str">
        <f t="shared" si="38"/>
        <v xml:space="preserve">3. &lt;br&gt;Can you estimate the proportion of antimalarials and/or RDTs you get from each supplier type? &lt;br&gt; 
</v>
      </c>
      <c r="S259" s="26" t="s">
        <v>860</v>
      </c>
      <c r="T259" s="26" t="s">
        <v>861</v>
      </c>
      <c r="U259" s="26"/>
      <c r="V259" s="26"/>
      <c r="W259" s="26"/>
      <c r="X259" s="26"/>
      <c r="Y259" s="26"/>
      <c r="Z259" s="26"/>
    </row>
    <row r="260" spans="1:26" ht="15.75" outlineLevel="2" x14ac:dyDescent="0.2">
      <c r="A260" s="8"/>
      <c r="B260" s="26"/>
      <c r="C260" s="125" t="s">
        <v>89</v>
      </c>
      <c r="D260" s="26" t="s">
        <v>862</v>
      </c>
      <c r="E260" s="67" t="s">
        <v>91</v>
      </c>
      <c r="F260" s="67" t="s">
        <v>811</v>
      </c>
      <c r="G260" s="67">
        <f t="shared" si="35"/>
        <v>3</v>
      </c>
      <c r="H260" s="12"/>
      <c r="I260" s="26"/>
      <c r="J260" s="26"/>
      <c r="K260" s="26"/>
      <c r="L260" s="26" t="s">
        <v>863</v>
      </c>
      <c r="M260" s="26"/>
      <c r="N260" s="26" t="s">
        <v>199</v>
      </c>
      <c r="O260" s="26"/>
      <c r="P260" s="26"/>
      <c r="Q260" s="26"/>
      <c r="R260" s="26"/>
      <c r="S260" s="26"/>
      <c r="T260" s="26"/>
      <c r="U260" s="26"/>
      <c r="V260" s="26"/>
      <c r="W260" s="26"/>
      <c r="X260" s="26"/>
      <c r="Y260" s="26"/>
      <c r="Z260" s="26"/>
    </row>
    <row r="261" spans="1:26" ht="38.25" hidden="1" outlineLevel="2" x14ac:dyDescent="0.2">
      <c r="A261" s="8"/>
      <c r="B261" s="29"/>
      <c r="C261" s="125" t="s">
        <v>76</v>
      </c>
      <c r="D261" s="26" t="s">
        <v>864</v>
      </c>
      <c r="E261" s="67" t="s">
        <v>83</v>
      </c>
      <c r="F261" s="67" t="s">
        <v>811</v>
      </c>
      <c r="G261" s="67">
        <f t="shared" si="35"/>
        <v>4</v>
      </c>
      <c r="H261" s="12" t="s">
        <v>865</v>
      </c>
      <c r="I261" s="26" t="s">
        <v>858</v>
      </c>
      <c r="J261" s="26"/>
      <c r="K261" s="26"/>
      <c r="L261" s="26"/>
      <c r="M261" s="26"/>
      <c r="N261" s="26"/>
      <c r="O261" s="26"/>
      <c r="P261" s="26"/>
      <c r="Q261" s="26"/>
      <c r="R261" s="26" t="str">
        <f t="shared" ref="R261:R269" si="39">IF(E261="no", H261, CONCATENATE(G261,". &lt;br&gt;",H261))</f>
        <v xml:space="preserve">4. &lt;br&gt;&lt;b&gt;Estimate the % of antimalarials and/or RDTs product you get from each supplier type anually: 
</v>
      </c>
      <c r="S261" s="26" t="s">
        <v>866</v>
      </c>
      <c r="T261" s="26" t="s">
        <v>861</v>
      </c>
      <c r="U261" s="26"/>
      <c r="V261" s="26"/>
      <c r="W261" s="26"/>
      <c r="X261" s="26"/>
      <c r="Y261" s="26"/>
      <c r="Z261" s="26"/>
    </row>
    <row r="262" spans="1:26" ht="15.75" hidden="1" outlineLevel="2" x14ac:dyDescent="0.2">
      <c r="A262" s="8"/>
      <c r="B262" s="26"/>
      <c r="C262" s="125" t="s">
        <v>350</v>
      </c>
      <c r="D262" s="26" t="s">
        <v>867</v>
      </c>
      <c r="E262" s="67" t="s">
        <v>91</v>
      </c>
      <c r="F262" s="67" t="s">
        <v>811</v>
      </c>
      <c r="G262" s="67">
        <f t="shared" si="35"/>
        <v>4</v>
      </c>
      <c r="H262" s="12" t="s">
        <v>829</v>
      </c>
      <c r="I262" s="26"/>
      <c r="J262" s="26" t="s">
        <v>712</v>
      </c>
      <c r="K262" s="26" t="s">
        <v>713</v>
      </c>
      <c r="L262" s="26" t="s">
        <v>868</v>
      </c>
      <c r="M262" s="26"/>
      <c r="N262" s="26" t="s">
        <v>750</v>
      </c>
      <c r="O262" s="26"/>
      <c r="P262" s="26" t="s">
        <v>83</v>
      </c>
      <c r="Q262" s="26"/>
      <c r="R262" s="26" t="str">
        <f t="shared" si="39"/>
        <v>Importer</v>
      </c>
      <c r="S262" s="26" t="s">
        <v>830</v>
      </c>
      <c r="T262" s="26"/>
      <c r="U262" s="26" t="s">
        <v>715</v>
      </c>
      <c r="V262" s="26"/>
      <c r="W262" s="26"/>
      <c r="X262" s="26"/>
      <c r="Y262" s="26"/>
      <c r="Z262" s="26"/>
    </row>
    <row r="263" spans="1:26" ht="15.75" hidden="1" outlineLevel="2" x14ac:dyDescent="0.2">
      <c r="A263" s="8"/>
      <c r="B263" s="26"/>
      <c r="C263" s="125" t="s">
        <v>350</v>
      </c>
      <c r="D263" s="26" t="s">
        <v>869</v>
      </c>
      <c r="E263" s="67" t="s">
        <v>91</v>
      </c>
      <c r="F263" s="67" t="s">
        <v>811</v>
      </c>
      <c r="G263" s="67">
        <f t="shared" si="35"/>
        <v>4</v>
      </c>
      <c r="H263" s="12" t="s">
        <v>832</v>
      </c>
      <c r="I263" s="26"/>
      <c r="J263" s="26" t="s">
        <v>712</v>
      </c>
      <c r="K263" s="26" t="s">
        <v>713</v>
      </c>
      <c r="L263" s="26" t="s">
        <v>870</v>
      </c>
      <c r="M263" s="26"/>
      <c r="N263" s="26" t="s">
        <v>750</v>
      </c>
      <c r="O263" s="26"/>
      <c r="P263" s="26" t="s">
        <v>83</v>
      </c>
      <c r="Q263" s="26"/>
      <c r="R263" s="26" t="str">
        <f t="shared" si="39"/>
        <v>INTERNATIONAL manufacturer</v>
      </c>
      <c r="S263" s="26" t="s">
        <v>833</v>
      </c>
      <c r="T263" s="26"/>
      <c r="U263" s="26" t="s">
        <v>715</v>
      </c>
      <c r="V263" s="26"/>
      <c r="W263" s="26"/>
      <c r="X263" s="26"/>
      <c r="Y263" s="26"/>
      <c r="Z263" s="26"/>
    </row>
    <row r="264" spans="1:26" ht="15.75" hidden="1" outlineLevel="2" x14ac:dyDescent="0.2">
      <c r="A264" s="8"/>
      <c r="B264" s="26"/>
      <c r="C264" s="125" t="s">
        <v>350</v>
      </c>
      <c r="D264" s="26" t="s">
        <v>871</v>
      </c>
      <c r="E264" s="67" t="s">
        <v>91</v>
      </c>
      <c r="F264" s="67" t="s">
        <v>811</v>
      </c>
      <c r="G264" s="67">
        <f t="shared" si="35"/>
        <v>4</v>
      </c>
      <c r="H264" s="12" t="s">
        <v>835</v>
      </c>
      <c r="I264" s="26"/>
      <c r="J264" s="26" t="s">
        <v>712</v>
      </c>
      <c r="K264" s="26" t="s">
        <v>713</v>
      </c>
      <c r="L264" s="26" t="s">
        <v>872</v>
      </c>
      <c r="M264" s="26"/>
      <c r="N264" s="26" t="s">
        <v>750</v>
      </c>
      <c r="O264" s="26"/>
      <c r="P264" s="26" t="s">
        <v>83</v>
      </c>
      <c r="Q264" s="26"/>
      <c r="R264" s="26" t="str">
        <f t="shared" si="39"/>
        <v>LOCAL manufacturer</v>
      </c>
      <c r="S264" s="26" t="s">
        <v>836</v>
      </c>
      <c r="T264" s="26"/>
      <c r="U264" s="26" t="s">
        <v>715</v>
      </c>
      <c r="V264" s="26"/>
      <c r="W264" s="26"/>
      <c r="X264" s="26"/>
      <c r="Y264" s="26"/>
      <c r="Z264" s="26"/>
    </row>
    <row r="265" spans="1:26" ht="15.75" hidden="1" outlineLevel="2" x14ac:dyDescent="0.2">
      <c r="A265" s="8"/>
      <c r="B265" s="26"/>
      <c r="C265" s="125" t="s">
        <v>350</v>
      </c>
      <c r="D265" s="26" t="s">
        <v>873</v>
      </c>
      <c r="E265" s="67" t="s">
        <v>91</v>
      </c>
      <c r="F265" s="67" t="s">
        <v>811</v>
      </c>
      <c r="G265" s="67">
        <f t="shared" si="35"/>
        <v>4</v>
      </c>
      <c r="H265" s="12" t="s">
        <v>838</v>
      </c>
      <c r="I265" s="26"/>
      <c r="J265" s="26" t="s">
        <v>712</v>
      </c>
      <c r="K265" s="26" t="s">
        <v>713</v>
      </c>
      <c r="L265" s="26" t="s">
        <v>874</v>
      </c>
      <c r="M265" s="26"/>
      <c r="N265" s="26" t="s">
        <v>750</v>
      </c>
      <c r="O265" s="26"/>
      <c r="P265" s="26" t="s">
        <v>83</v>
      </c>
      <c r="Q265" s="26"/>
      <c r="R265" s="26" t="str">
        <f t="shared" si="39"/>
        <v>Distributor</v>
      </c>
      <c r="S265" s="26" t="s">
        <v>839</v>
      </c>
      <c r="T265" s="26"/>
      <c r="U265" s="26" t="s">
        <v>715</v>
      </c>
      <c r="V265" s="26"/>
      <c r="W265" s="26"/>
      <c r="X265" s="26"/>
      <c r="Y265" s="26"/>
      <c r="Z265" s="26"/>
    </row>
    <row r="266" spans="1:26" ht="15.75" hidden="1" outlineLevel="2" x14ac:dyDescent="0.2">
      <c r="A266" s="8"/>
      <c r="B266" s="26"/>
      <c r="C266" s="125" t="s">
        <v>350</v>
      </c>
      <c r="D266" s="26" t="s">
        <v>875</v>
      </c>
      <c r="E266" s="67" t="s">
        <v>91</v>
      </c>
      <c r="F266" s="67" t="s">
        <v>811</v>
      </c>
      <c r="G266" s="67">
        <f t="shared" si="35"/>
        <v>4</v>
      </c>
      <c r="H266" s="12" t="s">
        <v>841</v>
      </c>
      <c r="I266" s="26"/>
      <c r="J266" s="26" t="s">
        <v>712</v>
      </c>
      <c r="K266" s="26" t="s">
        <v>713</v>
      </c>
      <c r="L266" s="26" t="s">
        <v>876</v>
      </c>
      <c r="M266" s="26"/>
      <c r="N266" s="26" t="s">
        <v>750</v>
      </c>
      <c r="O266" s="26"/>
      <c r="P266" s="26" t="s">
        <v>83</v>
      </c>
      <c r="Q266" s="26"/>
      <c r="R266" s="26" t="str">
        <f t="shared" si="39"/>
        <v>Pharmacy</v>
      </c>
      <c r="S266" s="26" t="s">
        <v>842</v>
      </c>
      <c r="T266" s="26"/>
      <c r="U266" s="26" t="s">
        <v>715</v>
      </c>
      <c r="V266" s="26"/>
      <c r="W266" s="26"/>
      <c r="X266" s="26"/>
      <c r="Y266" s="26"/>
      <c r="Z266" s="26"/>
    </row>
    <row r="267" spans="1:26" ht="15.75" hidden="1" outlineLevel="2" x14ac:dyDescent="0.2">
      <c r="A267" s="8"/>
      <c r="B267" s="26"/>
      <c r="C267" s="125" t="s">
        <v>350</v>
      </c>
      <c r="D267" s="26" t="s">
        <v>877</v>
      </c>
      <c r="E267" s="67" t="s">
        <v>91</v>
      </c>
      <c r="F267" s="67" t="s">
        <v>811</v>
      </c>
      <c r="G267" s="67">
        <f t="shared" si="35"/>
        <v>4</v>
      </c>
      <c r="H267" s="12" t="s">
        <v>844</v>
      </c>
      <c r="I267" s="26"/>
      <c r="J267" s="26" t="s">
        <v>712</v>
      </c>
      <c r="K267" s="26" t="s">
        <v>713</v>
      </c>
      <c r="L267" s="26" t="s">
        <v>878</v>
      </c>
      <c r="M267" s="26"/>
      <c r="N267" s="26" t="s">
        <v>750</v>
      </c>
      <c r="O267" s="26"/>
      <c r="P267" s="26" t="s">
        <v>83</v>
      </c>
      <c r="Q267" s="26"/>
      <c r="R267" s="26" t="str">
        <f t="shared" si="39"/>
        <v>Public sector supply chain</v>
      </c>
      <c r="S267" s="26" t="s">
        <v>845</v>
      </c>
      <c r="T267" s="26"/>
      <c r="U267" s="26" t="s">
        <v>715</v>
      </c>
      <c r="V267" s="26"/>
      <c r="W267" s="26"/>
      <c r="X267" s="26"/>
      <c r="Y267" s="26"/>
      <c r="Z267" s="26"/>
    </row>
    <row r="268" spans="1:26" ht="15.75" hidden="1" outlineLevel="2" x14ac:dyDescent="0.2">
      <c r="A268" s="8"/>
      <c r="B268" s="26"/>
      <c r="C268" s="125" t="s">
        <v>350</v>
      </c>
      <c r="D268" s="26" t="s">
        <v>879</v>
      </c>
      <c r="E268" s="67" t="s">
        <v>91</v>
      </c>
      <c r="F268" s="67" t="s">
        <v>811</v>
      </c>
      <c r="G268" s="67">
        <f t="shared" si="35"/>
        <v>4</v>
      </c>
      <c r="H268" s="12" t="s">
        <v>847</v>
      </c>
      <c r="I268" s="26"/>
      <c r="J268" s="26" t="s">
        <v>712</v>
      </c>
      <c r="K268" s="26" t="s">
        <v>713</v>
      </c>
      <c r="L268" s="26" t="s">
        <v>880</v>
      </c>
      <c r="M268" s="26"/>
      <c r="N268" s="26" t="s">
        <v>750</v>
      </c>
      <c r="O268" s="26"/>
      <c r="P268" s="26" t="s">
        <v>83</v>
      </c>
      <c r="Q268" s="26"/>
      <c r="R268" s="26" t="str">
        <f t="shared" si="39"/>
        <v>Other private outlet/ shop</v>
      </c>
      <c r="S268" s="26" t="s">
        <v>848</v>
      </c>
      <c r="T268" s="26"/>
      <c r="U268" s="26" t="s">
        <v>715</v>
      </c>
      <c r="V268" s="26"/>
      <c r="W268" s="26"/>
      <c r="X268" s="26"/>
      <c r="Y268" s="26"/>
      <c r="Z268" s="26"/>
    </row>
    <row r="269" spans="1:26" ht="15.75" hidden="1" outlineLevel="2" x14ac:dyDescent="0.2">
      <c r="A269" s="8"/>
      <c r="B269" s="26"/>
      <c r="C269" s="125" t="s">
        <v>350</v>
      </c>
      <c r="D269" s="26" t="s">
        <v>881</v>
      </c>
      <c r="E269" s="67" t="s">
        <v>91</v>
      </c>
      <c r="F269" s="67" t="s">
        <v>811</v>
      </c>
      <c r="G269" s="67">
        <f t="shared" si="35"/>
        <v>4</v>
      </c>
      <c r="H269" s="12" t="s">
        <v>850</v>
      </c>
      <c r="I269" s="26"/>
      <c r="J269" s="26" t="s">
        <v>712</v>
      </c>
      <c r="K269" s="26" t="s">
        <v>713</v>
      </c>
      <c r="L269" s="26" t="s">
        <v>854</v>
      </c>
      <c r="M269" s="26"/>
      <c r="N269" s="26" t="s">
        <v>750</v>
      </c>
      <c r="O269" s="26"/>
      <c r="P269" s="26" t="s">
        <v>83</v>
      </c>
      <c r="Q269" s="26"/>
      <c r="R269" s="26" t="str">
        <f t="shared" si="39"/>
        <v>Any other source</v>
      </c>
      <c r="S269" s="26" t="s">
        <v>851</v>
      </c>
      <c r="T269" s="26"/>
      <c r="U269" s="26" t="s">
        <v>715</v>
      </c>
      <c r="V269" s="26"/>
      <c r="W269" s="26"/>
      <c r="X269" s="26"/>
      <c r="Y269" s="26"/>
      <c r="Z269" s="26"/>
    </row>
    <row r="270" spans="1:26" ht="15.75" hidden="1" outlineLevel="2" x14ac:dyDescent="0.2">
      <c r="A270" s="8"/>
      <c r="B270" s="26"/>
      <c r="C270" s="125" t="s">
        <v>174</v>
      </c>
      <c r="D270" s="26" t="s">
        <v>862</v>
      </c>
      <c r="E270" s="67" t="s">
        <v>91</v>
      </c>
      <c r="F270" s="67" t="s">
        <v>811</v>
      </c>
      <c r="G270" s="67">
        <f t="shared" si="35"/>
        <v>4</v>
      </c>
      <c r="H270" s="12"/>
      <c r="I270" s="26"/>
      <c r="J270" s="26"/>
      <c r="K270" s="26"/>
      <c r="L270" s="26"/>
      <c r="M270" s="26"/>
      <c r="N270" s="26"/>
      <c r="O270" s="26"/>
      <c r="P270" s="26"/>
      <c r="Q270" s="26"/>
      <c r="R270" s="26"/>
      <c r="S270" s="26"/>
      <c r="T270" s="26"/>
      <c r="U270" s="26"/>
      <c r="V270" s="26"/>
      <c r="W270" s="26"/>
      <c r="X270" s="26"/>
      <c r="Y270" s="26"/>
      <c r="Z270" s="26"/>
    </row>
    <row r="271" spans="1:26" ht="15.75" hidden="1" outlineLevel="2" x14ac:dyDescent="0.2">
      <c r="A271" s="8"/>
      <c r="B271" s="26"/>
      <c r="C271" s="125" t="s">
        <v>109</v>
      </c>
      <c r="D271" s="26" t="s">
        <v>882</v>
      </c>
      <c r="E271" s="67" t="s">
        <v>91</v>
      </c>
      <c r="F271" s="67" t="s">
        <v>811</v>
      </c>
      <c r="G271" s="67">
        <f t="shared" si="35"/>
        <v>4</v>
      </c>
      <c r="H271" s="12"/>
      <c r="I271" s="26"/>
      <c r="J271" s="26"/>
      <c r="K271" s="26"/>
      <c r="L271" s="26"/>
      <c r="M271" s="26" t="s">
        <v>883</v>
      </c>
      <c r="N271" s="26"/>
      <c r="O271" s="26"/>
      <c r="P271" s="26"/>
      <c r="Q271" s="26"/>
      <c r="R271" s="26"/>
      <c r="S271" s="26"/>
      <c r="T271" s="26"/>
      <c r="U271" s="26"/>
      <c r="V271" s="26"/>
      <c r="W271" s="26"/>
      <c r="X271" s="26"/>
      <c r="Y271" s="26"/>
      <c r="Z271" s="26"/>
    </row>
    <row r="272" spans="1:26" ht="15.75" hidden="1" outlineLevel="2" x14ac:dyDescent="0.2">
      <c r="A272" s="8"/>
      <c r="B272" s="26"/>
      <c r="C272" s="125" t="s">
        <v>109</v>
      </c>
      <c r="D272" s="26" t="s">
        <v>884</v>
      </c>
      <c r="E272" s="67" t="s">
        <v>91</v>
      </c>
      <c r="F272" s="67" t="s">
        <v>811</v>
      </c>
      <c r="G272" s="67">
        <f t="shared" si="35"/>
        <v>4</v>
      </c>
      <c r="H272" s="12"/>
      <c r="I272" s="26"/>
      <c r="J272" s="26"/>
      <c r="K272" s="26"/>
      <c r="L272" s="26"/>
      <c r="M272" s="26" t="s">
        <v>885</v>
      </c>
      <c r="N272" s="26"/>
      <c r="O272" s="26"/>
      <c r="P272" s="26"/>
      <c r="Q272" s="26"/>
      <c r="R272" s="26"/>
      <c r="S272" s="26"/>
      <c r="T272" s="26"/>
      <c r="U272" s="26"/>
      <c r="V272" s="26"/>
      <c r="W272" s="26"/>
      <c r="X272" s="26"/>
      <c r="Y272" s="26"/>
      <c r="Z272" s="26"/>
    </row>
    <row r="273" spans="1:26" ht="15.75" hidden="1" outlineLevel="2" x14ac:dyDescent="0.2">
      <c r="A273" s="8"/>
      <c r="B273" s="26"/>
      <c r="C273" s="125" t="s">
        <v>109</v>
      </c>
      <c r="D273" s="26" t="s">
        <v>886</v>
      </c>
      <c r="E273" s="67" t="s">
        <v>91</v>
      </c>
      <c r="F273" s="67" t="s">
        <v>811</v>
      </c>
      <c r="G273" s="67">
        <f t="shared" si="35"/>
        <v>4</v>
      </c>
      <c r="H273" s="12"/>
      <c r="I273" s="26"/>
      <c r="J273" s="26"/>
      <c r="K273" s="26"/>
      <c r="L273" s="26"/>
      <c r="M273" s="26" t="s">
        <v>887</v>
      </c>
      <c r="N273" s="26"/>
      <c r="O273" s="26"/>
      <c r="P273" s="26"/>
      <c r="Q273" s="26"/>
      <c r="R273" s="26"/>
      <c r="S273" s="26"/>
      <c r="T273" s="26"/>
      <c r="U273" s="26"/>
      <c r="V273" s="26"/>
      <c r="W273" s="26"/>
      <c r="X273" s="26"/>
      <c r="Y273" s="26"/>
      <c r="Z273" s="26"/>
    </row>
    <row r="274" spans="1:26" ht="15.75" hidden="1" outlineLevel="2" x14ac:dyDescent="0.2">
      <c r="A274" s="8"/>
      <c r="B274" s="26"/>
      <c r="C274" s="125" t="s">
        <v>109</v>
      </c>
      <c r="D274" s="26" t="s">
        <v>888</v>
      </c>
      <c r="E274" s="67" t="s">
        <v>91</v>
      </c>
      <c r="F274" s="67" t="s">
        <v>811</v>
      </c>
      <c r="G274" s="67">
        <f t="shared" si="35"/>
        <v>4</v>
      </c>
      <c r="H274" s="12"/>
      <c r="I274" s="26"/>
      <c r="J274" s="26"/>
      <c r="K274" s="26"/>
      <c r="L274" s="26"/>
      <c r="M274" s="26" t="s">
        <v>889</v>
      </c>
      <c r="N274" s="26"/>
      <c r="O274" s="26"/>
      <c r="P274" s="26"/>
      <c r="Q274" s="26"/>
      <c r="R274" s="26"/>
      <c r="S274" s="26"/>
      <c r="T274" s="26"/>
      <c r="U274" s="26"/>
      <c r="V274" s="26"/>
      <c r="W274" s="26"/>
      <c r="X274" s="26"/>
      <c r="Y274" s="26"/>
      <c r="Z274" s="26"/>
    </row>
    <row r="275" spans="1:26" ht="15.75" hidden="1" outlineLevel="2" x14ac:dyDescent="0.2">
      <c r="A275" s="8"/>
      <c r="B275" s="26"/>
      <c r="C275" s="125" t="s">
        <v>109</v>
      </c>
      <c r="D275" s="26" t="s">
        <v>890</v>
      </c>
      <c r="E275" s="67" t="s">
        <v>91</v>
      </c>
      <c r="F275" s="67" t="s">
        <v>811</v>
      </c>
      <c r="G275" s="67">
        <f t="shared" si="35"/>
        <v>4</v>
      </c>
      <c r="H275" s="12"/>
      <c r="I275" s="26"/>
      <c r="J275" s="26"/>
      <c r="K275" s="26"/>
      <c r="L275" s="26"/>
      <c r="M275" s="26" t="s">
        <v>891</v>
      </c>
      <c r="N275" s="26"/>
      <c r="O275" s="26"/>
      <c r="P275" s="26"/>
      <c r="Q275" s="26"/>
      <c r="R275" s="26"/>
      <c r="S275" s="26"/>
      <c r="T275" s="26"/>
      <c r="U275" s="26"/>
      <c r="V275" s="26"/>
      <c r="W275" s="26"/>
      <c r="X275" s="26"/>
      <c r="Y275" s="26"/>
      <c r="Z275" s="26"/>
    </row>
    <row r="276" spans="1:26" ht="15.75" hidden="1" outlineLevel="2" x14ac:dyDescent="0.2">
      <c r="A276" s="8"/>
      <c r="B276" s="26"/>
      <c r="C276" s="125" t="s">
        <v>109</v>
      </c>
      <c r="D276" s="26" t="s">
        <v>892</v>
      </c>
      <c r="E276" s="67" t="s">
        <v>91</v>
      </c>
      <c r="F276" s="67" t="s">
        <v>811</v>
      </c>
      <c r="G276" s="67">
        <f t="shared" si="35"/>
        <v>4</v>
      </c>
      <c r="H276" s="12"/>
      <c r="I276" s="26"/>
      <c r="J276" s="26"/>
      <c r="K276" s="26"/>
      <c r="L276" s="26"/>
      <c r="M276" s="26" t="s">
        <v>893</v>
      </c>
      <c r="N276" s="26"/>
      <c r="O276" s="26"/>
      <c r="P276" s="26"/>
      <c r="Q276" s="26"/>
      <c r="R276" s="26"/>
      <c r="S276" s="26"/>
      <c r="T276" s="26"/>
      <c r="U276" s="26"/>
      <c r="V276" s="26"/>
      <c r="W276" s="26"/>
      <c r="X276" s="26"/>
      <c r="Y276" s="26"/>
      <c r="Z276" s="26"/>
    </row>
    <row r="277" spans="1:26" ht="15.75" hidden="1" outlineLevel="2" x14ac:dyDescent="0.2">
      <c r="A277" s="8"/>
      <c r="B277" s="26"/>
      <c r="C277" s="125" t="s">
        <v>109</v>
      </c>
      <c r="D277" s="26" t="s">
        <v>894</v>
      </c>
      <c r="E277" s="67" t="s">
        <v>91</v>
      </c>
      <c r="F277" s="67" t="s">
        <v>811</v>
      </c>
      <c r="G277" s="67">
        <f t="shared" si="35"/>
        <v>4</v>
      </c>
      <c r="H277" s="12"/>
      <c r="I277" s="26"/>
      <c r="J277" s="26"/>
      <c r="K277" s="26"/>
      <c r="L277" s="26"/>
      <c r="M277" s="26" t="s">
        <v>895</v>
      </c>
      <c r="N277" s="26"/>
      <c r="O277" s="26"/>
      <c r="P277" s="26"/>
      <c r="Q277" s="26"/>
      <c r="R277" s="26"/>
      <c r="S277" s="26"/>
      <c r="T277" s="26"/>
      <c r="U277" s="26"/>
      <c r="V277" s="26"/>
      <c r="W277" s="26"/>
      <c r="X277" s="26"/>
      <c r="Y277" s="26"/>
      <c r="Z277" s="26"/>
    </row>
    <row r="278" spans="1:26" ht="15.75" hidden="1" outlineLevel="2" x14ac:dyDescent="0.2">
      <c r="A278" s="8"/>
      <c r="B278" s="26"/>
      <c r="C278" s="125" t="s">
        <v>109</v>
      </c>
      <c r="D278" s="26" t="s">
        <v>896</v>
      </c>
      <c r="E278" s="67" t="s">
        <v>91</v>
      </c>
      <c r="F278" s="67" t="s">
        <v>811</v>
      </c>
      <c r="G278" s="67">
        <f t="shared" si="35"/>
        <v>4</v>
      </c>
      <c r="H278" s="12"/>
      <c r="I278" s="26"/>
      <c r="J278" s="26"/>
      <c r="K278" s="26"/>
      <c r="L278" s="26"/>
      <c r="M278" s="26" t="s">
        <v>897</v>
      </c>
      <c r="N278" s="26"/>
      <c r="O278" s="26"/>
      <c r="P278" s="26"/>
      <c r="Q278" s="26"/>
      <c r="R278" s="26"/>
      <c r="S278" s="26"/>
      <c r="T278" s="26"/>
      <c r="U278" s="26"/>
      <c r="V278" s="26"/>
      <c r="W278" s="26"/>
      <c r="X278" s="26"/>
      <c r="Y278" s="26"/>
      <c r="Z278" s="26"/>
    </row>
    <row r="279" spans="1:26" ht="15.75" hidden="1" outlineLevel="2" x14ac:dyDescent="0.2">
      <c r="A279" s="8"/>
      <c r="B279" s="26"/>
      <c r="C279" s="125" t="s">
        <v>109</v>
      </c>
      <c r="D279" s="26" t="s">
        <v>898</v>
      </c>
      <c r="E279" s="67" t="s">
        <v>91</v>
      </c>
      <c r="F279" s="67" t="s">
        <v>811</v>
      </c>
      <c r="G279" s="67">
        <f t="shared" si="35"/>
        <v>4</v>
      </c>
      <c r="H279" s="12" t="s">
        <v>778</v>
      </c>
      <c r="I279" s="26"/>
      <c r="J279" s="26"/>
      <c r="K279" s="26"/>
      <c r="L279" s="26"/>
      <c r="M279" s="26" t="s">
        <v>899</v>
      </c>
      <c r="N279" s="26"/>
      <c r="O279" s="26"/>
      <c r="P279" s="26"/>
      <c r="Q279" s="26"/>
      <c r="R279" s="26" t="str">
        <f t="shared" ref="R279:R281" si="40">IF(E279="no", H279, CONCATENATE(G279,". &lt;br&gt;",H279))</f>
        <v>check sum of %</v>
      </c>
      <c r="S279" s="26" t="s">
        <v>900</v>
      </c>
      <c r="T279" s="26"/>
      <c r="U279" s="26"/>
      <c r="V279" s="26"/>
      <c r="W279" s="26"/>
      <c r="X279" s="26"/>
      <c r="Y279" s="26"/>
      <c r="Z279" s="26"/>
    </row>
    <row r="280" spans="1:26" ht="51" hidden="1" outlineLevel="2" x14ac:dyDescent="0.2">
      <c r="A280" s="8"/>
      <c r="B280" s="26"/>
      <c r="C280" s="125" t="s">
        <v>76</v>
      </c>
      <c r="D280" s="26" t="s">
        <v>901</v>
      </c>
      <c r="E280" s="67" t="s">
        <v>91</v>
      </c>
      <c r="F280" s="67" t="s">
        <v>811</v>
      </c>
      <c r="G280" s="67">
        <f t="shared" si="35"/>
        <v>4</v>
      </c>
      <c r="H280" s="12" t="s">
        <v>902</v>
      </c>
      <c r="I280" s="26"/>
      <c r="J280" s="26"/>
      <c r="K280" s="26"/>
      <c r="L280" s="26" t="s">
        <v>903</v>
      </c>
      <c r="M280" s="26"/>
      <c r="N280" s="26"/>
      <c r="O280" s="26"/>
      <c r="P280" s="26"/>
      <c r="Q280" s="26"/>
      <c r="R280" s="26" t="str">
        <f t="shared" si="40"/>
        <v>&lt;font color=blue&gt;&lt;h4&gt;&lt;b&gt;Interviewer: &lt;/b&gt;&lt;/h4&gt;&lt;br&gt;
&lt;br&gt;&lt;b&gt; The proportion of products by supplier types should equal 100%. The current total entered is ${sa3b_check}. 
&lt;br&gt;Please go back.</v>
      </c>
      <c r="S280" s="26" t="s">
        <v>904</v>
      </c>
      <c r="T280" s="26"/>
      <c r="U280" s="26"/>
      <c r="V280" s="26"/>
      <c r="W280" s="26"/>
      <c r="X280" s="26"/>
      <c r="Y280" s="26"/>
      <c r="Z280" s="26"/>
    </row>
    <row r="281" spans="1:26" ht="51" hidden="1" outlineLevel="2" x14ac:dyDescent="0.2">
      <c r="A281" s="8"/>
      <c r="B281" s="12"/>
      <c r="C281" s="123" t="s">
        <v>174</v>
      </c>
      <c r="D281" s="12" t="s">
        <v>810</v>
      </c>
      <c r="E281" s="55" t="s">
        <v>91</v>
      </c>
      <c r="F281" s="55" t="s">
        <v>811</v>
      </c>
      <c r="G281" s="55">
        <f t="shared" si="35"/>
        <v>4</v>
      </c>
      <c r="H281" s="137" t="s">
        <v>812</v>
      </c>
      <c r="I281" s="12"/>
      <c r="J281" s="12"/>
      <c r="K281" s="12"/>
      <c r="L281" s="12" t="s">
        <v>813</v>
      </c>
      <c r="M281" s="12"/>
      <c r="N281" s="12"/>
      <c r="O281" s="12"/>
      <c r="P281" s="12"/>
      <c r="Q281" s="12"/>
      <c r="R281" s="12" t="str">
        <f t="shared" si="40"/>
        <v>Antimalarial &amp; RDT suppliers</v>
      </c>
      <c r="S281" s="12" t="s">
        <v>814</v>
      </c>
      <c r="T281" s="12"/>
      <c r="U281" s="12"/>
      <c r="V281" s="12"/>
      <c r="W281" s="12"/>
      <c r="X281" s="12"/>
      <c r="Y281" s="12"/>
      <c r="Z281" s="12"/>
    </row>
    <row r="282" spans="1:26" hidden="1" outlineLevel="2" x14ac:dyDescent="0.2">
      <c r="A282" s="36"/>
      <c r="B282" s="26"/>
      <c r="C282" s="125"/>
      <c r="D282" s="26"/>
      <c r="E282" s="67"/>
      <c r="F282" s="67"/>
      <c r="G282" s="67">
        <f t="shared" si="35"/>
        <v>1</v>
      </c>
      <c r="H282" s="12"/>
      <c r="I282" s="26"/>
      <c r="J282" s="26"/>
      <c r="K282" s="26"/>
      <c r="L282" s="26"/>
      <c r="M282" s="26"/>
      <c r="N282" s="26"/>
      <c r="O282" s="26"/>
      <c r="P282" s="26"/>
      <c r="Q282" s="26"/>
      <c r="R282" s="26"/>
      <c r="S282" s="26"/>
      <c r="T282" s="26"/>
      <c r="U282" s="26"/>
      <c r="V282" s="26"/>
      <c r="W282" s="26"/>
      <c r="X282" s="26"/>
      <c r="Y282" s="26"/>
      <c r="Z282" s="26"/>
    </row>
    <row r="283" spans="1:26" ht="51" outlineLevel="2" x14ac:dyDescent="0.2">
      <c r="A283" s="8" t="s">
        <v>905</v>
      </c>
      <c r="B283" s="12"/>
      <c r="C283" s="123" t="s">
        <v>89</v>
      </c>
      <c r="D283" s="12" t="s">
        <v>906</v>
      </c>
      <c r="E283" s="55" t="s">
        <v>91</v>
      </c>
      <c r="F283" s="55" t="s">
        <v>907</v>
      </c>
      <c r="G283" s="55">
        <f t="shared" si="35"/>
        <v>1</v>
      </c>
      <c r="H283" s="137" t="s">
        <v>908</v>
      </c>
      <c r="I283" s="12"/>
      <c r="J283" s="12"/>
      <c r="K283" s="12"/>
      <c r="L283" s="12" t="s">
        <v>813</v>
      </c>
      <c r="M283" s="12"/>
      <c r="N283" s="12"/>
      <c r="O283" s="12"/>
      <c r="P283" s="12"/>
      <c r="Q283" s="12"/>
      <c r="R283" s="12" t="str">
        <f t="shared" ref="R283:R296" si="41">IF(E283="no", H283, CONCATENATE(G283,". &lt;br&gt;",H283))</f>
        <v>Antimalarial &amp; RDT procurement, payment, stability</v>
      </c>
      <c r="S283" s="12" t="s">
        <v>814</v>
      </c>
      <c r="T283" s="12"/>
      <c r="U283" s="12"/>
      <c r="V283" s="12"/>
      <c r="W283" s="12"/>
      <c r="X283" s="12"/>
      <c r="Y283" s="12"/>
      <c r="Z283" s="12"/>
    </row>
    <row r="284" spans="1:26" ht="78.75" hidden="1" outlineLevel="2" x14ac:dyDescent="0.2">
      <c r="A284" s="39" t="s">
        <v>909</v>
      </c>
      <c r="B284" s="26"/>
      <c r="C284" s="125" t="s">
        <v>910</v>
      </c>
      <c r="D284" s="26" t="s">
        <v>911</v>
      </c>
      <c r="E284" s="67" t="s">
        <v>83</v>
      </c>
      <c r="F284" s="67" t="s">
        <v>907</v>
      </c>
      <c r="G284" s="67">
        <f t="shared" si="35"/>
        <v>2</v>
      </c>
      <c r="H284" s="12" t="s">
        <v>912</v>
      </c>
      <c r="I284" s="26" t="s">
        <v>913</v>
      </c>
      <c r="J284" s="26"/>
      <c r="K284" s="26"/>
      <c r="L284" s="26" t="s">
        <v>166</v>
      </c>
      <c r="M284" s="26"/>
      <c r="N284" s="26"/>
      <c r="O284" s="26"/>
      <c r="P284" s="26" t="s">
        <v>83</v>
      </c>
      <c r="Q284" s="26"/>
      <c r="R284" s="26" t="str">
        <f t="shared" si="41"/>
        <v>2. &lt;br&gt; How do you most often receive your antimalarials and/ or RDTs from supplier(s)?</v>
      </c>
      <c r="S284" s="26" t="s">
        <v>914</v>
      </c>
      <c r="T284" s="26" t="s">
        <v>915</v>
      </c>
      <c r="U284" s="26"/>
      <c r="V284" s="26"/>
      <c r="W284" s="26"/>
      <c r="X284" s="26"/>
      <c r="Y284" s="26"/>
      <c r="Z284" s="26"/>
    </row>
    <row r="285" spans="1:26" ht="78.75" hidden="1" outlineLevel="2" x14ac:dyDescent="0.2">
      <c r="A285" s="39" t="s">
        <v>916</v>
      </c>
      <c r="B285" s="26"/>
      <c r="C285" s="125" t="s">
        <v>917</v>
      </c>
      <c r="D285" s="26" t="s">
        <v>918</v>
      </c>
      <c r="E285" s="67" t="s">
        <v>83</v>
      </c>
      <c r="F285" s="67" t="s">
        <v>907</v>
      </c>
      <c r="G285" s="67">
        <f t="shared" si="35"/>
        <v>3</v>
      </c>
      <c r="H285" s="12" t="s">
        <v>919</v>
      </c>
      <c r="I285" s="26" t="s">
        <v>920</v>
      </c>
      <c r="J285" s="68"/>
      <c r="K285" s="26" t="s">
        <v>342</v>
      </c>
      <c r="L285" s="26" t="s">
        <v>166</v>
      </c>
      <c r="M285" s="26"/>
      <c r="N285" s="26" t="s">
        <v>658</v>
      </c>
      <c r="O285" s="26"/>
      <c r="P285" s="26" t="s">
        <v>83</v>
      </c>
      <c r="Q285" s="26"/>
      <c r="R285" s="26" t="str">
        <f t="shared" si="41"/>
        <v>3. &lt;br&gt;What are the common methods of payment to your suppliers for antimalarials and/or RDTs?</v>
      </c>
      <c r="S285" s="26" t="s">
        <v>921</v>
      </c>
      <c r="T285" s="26" t="s">
        <v>922</v>
      </c>
      <c r="U285" s="26"/>
      <c r="V285" s="26"/>
      <c r="W285" s="26"/>
      <c r="X285" s="26"/>
      <c r="Y285" s="26"/>
      <c r="Z285" s="26"/>
    </row>
    <row r="286" spans="1:26" ht="15.75" hidden="1" outlineLevel="2" x14ac:dyDescent="0.2">
      <c r="A286" s="39"/>
      <c r="B286" s="26"/>
      <c r="C286" s="125" t="s">
        <v>144</v>
      </c>
      <c r="D286" s="26" t="s">
        <v>923</v>
      </c>
      <c r="E286" s="67" t="s">
        <v>91</v>
      </c>
      <c r="F286" s="67" t="s">
        <v>907</v>
      </c>
      <c r="G286" s="67">
        <f t="shared" si="35"/>
        <v>3</v>
      </c>
      <c r="H286" s="12" t="s">
        <v>924</v>
      </c>
      <c r="I286" s="26"/>
      <c r="J286" s="26"/>
      <c r="K286" s="26"/>
      <c r="L286" s="26" t="s">
        <v>925</v>
      </c>
      <c r="M286" s="26"/>
      <c r="N286" s="26"/>
      <c r="O286" s="26"/>
      <c r="P286" s="26" t="s">
        <v>83</v>
      </c>
      <c r="Q286" s="26"/>
      <c r="R286" s="26" t="str">
        <f t="shared" si="41"/>
        <v>Other payment method</v>
      </c>
      <c r="S286" s="26" t="s">
        <v>926</v>
      </c>
      <c r="T286" s="26"/>
      <c r="U286" s="26"/>
      <c r="V286" s="26"/>
      <c r="W286" s="26"/>
      <c r="X286" s="26"/>
      <c r="Y286" s="26"/>
      <c r="Z286" s="26"/>
    </row>
    <row r="287" spans="1:26" ht="15.75" hidden="1" outlineLevel="2" x14ac:dyDescent="0.2">
      <c r="A287" s="39"/>
      <c r="B287" s="26"/>
      <c r="C287" s="125" t="s">
        <v>927</v>
      </c>
      <c r="D287" s="26" t="s">
        <v>928</v>
      </c>
      <c r="E287" s="67" t="s">
        <v>83</v>
      </c>
      <c r="F287" s="67" t="s">
        <v>907</v>
      </c>
      <c r="G287" s="67">
        <f t="shared" si="35"/>
        <v>4</v>
      </c>
      <c r="H287" s="12" t="s">
        <v>929</v>
      </c>
      <c r="I287" s="26"/>
      <c r="J287" s="26"/>
      <c r="K287" s="26"/>
      <c r="L287" s="26" t="s">
        <v>166</v>
      </c>
      <c r="M287" s="26"/>
      <c r="N287" s="26"/>
      <c r="O287" s="26"/>
      <c r="P287" s="26" t="s">
        <v>83</v>
      </c>
      <c r="Q287" s="26"/>
      <c r="R287" s="26" t="str">
        <f t="shared" si="41"/>
        <v>4. &lt;br&gt;&lt;br&gt; Do you buy antimalarials and/or RDTs on credit from any supplier?</v>
      </c>
      <c r="S287" s="26" t="s">
        <v>930</v>
      </c>
      <c r="T287" s="26"/>
      <c r="U287" s="26"/>
      <c r="V287" s="26"/>
      <c r="W287" s="26"/>
      <c r="X287" s="26"/>
      <c r="Y287" s="26"/>
      <c r="Z287" s="26"/>
    </row>
    <row r="288" spans="1:26" ht="25.5" hidden="1" outlineLevel="2" x14ac:dyDescent="0.2">
      <c r="A288" s="39"/>
      <c r="B288" s="26"/>
      <c r="C288" s="125" t="s">
        <v>350</v>
      </c>
      <c r="D288" s="26" t="s">
        <v>931</v>
      </c>
      <c r="E288" s="67" t="s">
        <v>83</v>
      </c>
      <c r="F288" s="67" t="s">
        <v>907</v>
      </c>
      <c r="G288" s="67">
        <f t="shared" si="35"/>
        <v>5</v>
      </c>
      <c r="H288" s="12" t="s">
        <v>932</v>
      </c>
      <c r="I288" s="26"/>
      <c r="J288" s="26" t="s">
        <v>933</v>
      </c>
      <c r="K288" s="26" t="s">
        <v>934</v>
      </c>
      <c r="L288" s="26" t="s">
        <v>935</v>
      </c>
      <c r="M288" s="26"/>
      <c r="N288" s="26" t="s">
        <v>356</v>
      </c>
      <c r="O288" s="26"/>
      <c r="P288" s="26" t="s">
        <v>83</v>
      </c>
      <c r="Q288" s="26"/>
      <c r="R288" s="26" t="str">
        <f t="shared" si="41"/>
        <v>5. &lt;br&gt;&lt;br&gt; What are the most common credit terms, in terms of number of days to settle payment?</v>
      </c>
      <c r="S288" s="26" t="s">
        <v>936</v>
      </c>
      <c r="T288" s="26"/>
      <c r="U288" s="26" t="s">
        <v>937</v>
      </c>
      <c r="V288" s="26"/>
      <c r="W288" s="26"/>
      <c r="X288" s="26"/>
      <c r="Y288" s="26"/>
      <c r="Z288" s="26"/>
    </row>
    <row r="289" spans="1:26" ht="38.25" hidden="1" outlineLevel="2" x14ac:dyDescent="0.2">
      <c r="A289" s="39"/>
      <c r="B289" s="26"/>
      <c r="C289" s="125" t="s">
        <v>76</v>
      </c>
      <c r="D289" s="26" t="s">
        <v>938</v>
      </c>
      <c r="E289" s="67" t="s">
        <v>91</v>
      </c>
      <c r="F289" s="67" t="s">
        <v>907</v>
      </c>
      <c r="G289" s="67">
        <f t="shared" si="35"/>
        <v>5</v>
      </c>
      <c r="H289" s="12" t="s">
        <v>939</v>
      </c>
      <c r="I289" s="26"/>
      <c r="J289" s="26"/>
      <c r="K289" s="26"/>
      <c r="L289" s="26" t="s">
        <v>940</v>
      </c>
      <c r="M289" s="26"/>
      <c r="N289" s="26"/>
      <c r="O289" s="26"/>
      <c r="P289" s="26"/>
      <c r="Q289" s="26"/>
      <c r="R289" s="26" t="str">
        <f t="shared" si="41"/>
        <v>&lt;font color="red"&gt;&lt;b&gt;Interviewer: &lt;/b&gt;
&lt;i&gt;Confirm &lt;font color="blue"&gt;${sa7}&lt;/font&gt; is the correct number of days typically given to settle payment before proceeding&lt;/i&gt;&lt;/font&gt;</v>
      </c>
      <c r="S289" s="26" t="s">
        <v>941</v>
      </c>
      <c r="T289" s="26"/>
      <c r="U289" s="26"/>
      <c r="V289" s="26"/>
      <c r="W289" s="26"/>
      <c r="X289" s="26"/>
      <c r="Y289" s="26"/>
      <c r="Z289" s="26"/>
    </row>
    <row r="290" spans="1:26" ht="25.5" hidden="1" outlineLevel="2" x14ac:dyDescent="0.2">
      <c r="A290" s="39"/>
      <c r="B290" s="138"/>
      <c r="C290" s="125" t="s">
        <v>144</v>
      </c>
      <c r="D290" s="26" t="s">
        <v>942</v>
      </c>
      <c r="E290" s="67" t="s">
        <v>83</v>
      </c>
      <c r="F290" s="67" t="s">
        <v>907</v>
      </c>
      <c r="G290" s="67">
        <f t="shared" si="35"/>
        <v>6</v>
      </c>
      <c r="H290" s="12" t="s">
        <v>943</v>
      </c>
      <c r="I290" s="26" t="s">
        <v>944</v>
      </c>
      <c r="J290" s="26"/>
      <c r="K290" s="26"/>
      <c r="L290" s="26" t="s">
        <v>166</v>
      </c>
      <c r="M290" s="26"/>
      <c r="N290" s="26"/>
      <c r="O290" s="26"/>
      <c r="P290" s="26" t="s">
        <v>83</v>
      </c>
      <c r="Q290" s="26"/>
      <c r="R290" s="26" t="str">
        <f t="shared" si="41"/>
        <v>6. &lt;br&gt;&lt;br&gt; What brand of antimalarial do you sell to &lt;b&gt;individual clients&lt;/b&gt; or use most often at this facilty/outlet?</v>
      </c>
      <c r="S290" s="26" t="s">
        <v>945</v>
      </c>
      <c r="T290" s="26" t="s">
        <v>946</v>
      </c>
      <c r="U290" s="26"/>
      <c r="V290" s="26"/>
      <c r="W290" s="26"/>
      <c r="X290" s="26"/>
      <c r="Y290" s="26"/>
      <c r="Z290" s="26"/>
    </row>
    <row r="291" spans="1:26" ht="38.25" hidden="1" outlineLevel="2" x14ac:dyDescent="0.2">
      <c r="A291" s="39"/>
      <c r="B291" s="138"/>
      <c r="C291" s="125" t="s">
        <v>212</v>
      </c>
      <c r="D291" s="26" t="s">
        <v>947</v>
      </c>
      <c r="E291" s="67" t="s">
        <v>83</v>
      </c>
      <c r="F291" s="67" t="s">
        <v>907</v>
      </c>
      <c r="G291" s="67">
        <f t="shared" si="35"/>
        <v>7</v>
      </c>
      <c r="H291" s="12" t="s">
        <v>948</v>
      </c>
      <c r="I291" s="26"/>
      <c r="J291" s="26"/>
      <c r="K291" s="26"/>
      <c r="L291" s="26" t="s">
        <v>166</v>
      </c>
      <c r="M291" s="26"/>
      <c r="N291" s="26"/>
      <c r="O291" s="26"/>
      <c r="P291" s="26" t="s">
        <v>83</v>
      </c>
      <c r="Q291" s="26"/>
      <c r="R291" s="26" t="str">
        <f t="shared" si="41"/>
        <v>7. &lt;br&gt;&lt;br&gt;In the &lt;b&gt;past 12 months&lt;/b&gt;, did you ever have to use another supplier for &lt;font color=blue${sa11}&lt;/font&gt; because your regular supplier did not have it in stock?</v>
      </c>
      <c r="S291" s="26" t="s">
        <v>949</v>
      </c>
      <c r="T291" s="26"/>
      <c r="U291" s="26"/>
      <c r="V291" s="26"/>
      <c r="W291" s="26"/>
      <c r="X291" s="26"/>
      <c r="Y291" s="26"/>
      <c r="Z291" s="26"/>
    </row>
    <row r="292" spans="1:26" ht="94.5" hidden="1" outlineLevel="2" x14ac:dyDescent="0.2">
      <c r="A292" s="39" t="s">
        <v>950</v>
      </c>
      <c r="B292" s="26"/>
      <c r="C292" s="125" t="s">
        <v>951</v>
      </c>
      <c r="D292" s="26" t="s">
        <v>952</v>
      </c>
      <c r="E292" s="67" t="s">
        <v>83</v>
      </c>
      <c r="F292" s="67" t="s">
        <v>907</v>
      </c>
      <c r="G292" s="67">
        <f t="shared" si="35"/>
        <v>8</v>
      </c>
      <c r="H292" s="12" t="s">
        <v>953</v>
      </c>
      <c r="I292" s="26"/>
      <c r="J292" s="26"/>
      <c r="K292" s="26"/>
      <c r="L292" s="26" t="s">
        <v>166</v>
      </c>
      <c r="M292" s="26"/>
      <c r="N292" s="26"/>
      <c r="O292" s="26"/>
      <c r="P292" s="26" t="s">
        <v>83</v>
      </c>
      <c r="Q292" s="26"/>
      <c r="R292" s="26" t="str">
        <f t="shared" si="41"/>
        <v>8. &lt;br&gt;&lt;br&gt; In the &lt;b&gt;past 12 months&lt;/b&gt;, how has the price to purchase &lt;font color=blue&gt;${sa11}&lt;/font&gt; changed?</v>
      </c>
      <c r="S292" s="26" t="s">
        <v>954</v>
      </c>
      <c r="T292" s="26"/>
      <c r="U292" s="26"/>
      <c r="V292" s="26"/>
      <c r="W292" s="26"/>
      <c r="X292" s="26"/>
      <c r="Y292" s="26"/>
      <c r="Z292" s="26"/>
    </row>
    <row r="293" spans="1:26" ht="25.5" hidden="1" outlineLevel="2" x14ac:dyDescent="0.2">
      <c r="A293" s="39"/>
      <c r="B293" s="26"/>
      <c r="C293" s="125" t="s">
        <v>955</v>
      </c>
      <c r="D293" s="26" t="s">
        <v>956</v>
      </c>
      <c r="E293" s="67" t="s">
        <v>83</v>
      </c>
      <c r="F293" s="67" t="s">
        <v>907</v>
      </c>
      <c r="G293" s="67">
        <f t="shared" si="35"/>
        <v>9</v>
      </c>
      <c r="H293" s="12" t="s">
        <v>957</v>
      </c>
      <c r="I293" s="26"/>
      <c r="J293" s="26"/>
      <c r="K293" s="26"/>
      <c r="L293" s="26" t="s">
        <v>958</v>
      </c>
      <c r="M293" s="26"/>
      <c r="N293" s="26"/>
      <c r="O293" s="26"/>
      <c r="P293" s="26" t="s">
        <v>83</v>
      </c>
      <c r="Q293" s="26"/>
      <c r="R293" s="26" t="str">
        <f t="shared" si="41"/>
        <v>9. &lt;br&gt;&lt;br&gt; In your opinion, what is the &lt;b&gt;main reason&lt;/b&gt; for price changes over the &lt;b&gt;past 12 months&lt;/b&gt;?</v>
      </c>
      <c r="S293" s="26" t="s">
        <v>959</v>
      </c>
      <c r="T293" s="26"/>
      <c r="U293" s="26"/>
      <c r="V293" s="26"/>
      <c r="W293" s="26"/>
      <c r="X293" s="26"/>
      <c r="Y293" s="26"/>
      <c r="Z293" s="26"/>
    </row>
    <row r="294" spans="1:26" ht="15.75" hidden="1" outlineLevel="2" x14ac:dyDescent="0.2">
      <c r="A294" s="39"/>
      <c r="B294" s="26"/>
      <c r="C294" s="125" t="s">
        <v>144</v>
      </c>
      <c r="D294" s="26" t="s">
        <v>960</v>
      </c>
      <c r="E294" s="67" t="s">
        <v>91</v>
      </c>
      <c r="F294" s="67" t="s">
        <v>907</v>
      </c>
      <c r="G294" s="67">
        <f t="shared" si="35"/>
        <v>9</v>
      </c>
      <c r="H294" s="12" t="s">
        <v>961</v>
      </c>
      <c r="I294" s="26"/>
      <c r="J294" s="26"/>
      <c r="K294" s="26"/>
      <c r="L294" s="26" t="s">
        <v>962</v>
      </c>
      <c r="M294" s="26"/>
      <c r="N294" s="26"/>
      <c r="O294" s="26"/>
      <c r="P294" s="26" t="s">
        <v>83</v>
      </c>
      <c r="Q294" s="26"/>
      <c r="R294" s="26" t="str">
        <f t="shared" si="41"/>
        <v xml:space="preserve">Specify other reasons for price changes: </v>
      </c>
      <c r="S294" s="26" t="s">
        <v>963</v>
      </c>
      <c r="T294" s="26"/>
      <c r="U294" s="26"/>
      <c r="V294" s="26"/>
      <c r="W294" s="26"/>
      <c r="X294" s="26"/>
      <c r="Y294" s="26"/>
      <c r="Z294" s="26"/>
    </row>
    <row r="295" spans="1:26" ht="51" hidden="1" outlineLevel="2" x14ac:dyDescent="0.2">
      <c r="A295" s="39"/>
      <c r="B295" s="26"/>
      <c r="C295" s="125" t="s">
        <v>964</v>
      </c>
      <c r="D295" s="26" t="s">
        <v>965</v>
      </c>
      <c r="E295" s="67" t="s">
        <v>83</v>
      </c>
      <c r="F295" s="67" t="s">
        <v>907</v>
      </c>
      <c r="G295" s="67">
        <f t="shared" si="35"/>
        <v>10</v>
      </c>
      <c r="H295" s="12" t="s">
        <v>966</v>
      </c>
      <c r="I295" s="26"/>
      <c r="J295" s="26"/>
      <c r="K295" s="26"/>
      <c r="L295" s="26" t="s">
        <v>166</v>
      </c>
      <c r="M295" s="26"/>
      <c r="N295" s="26"/>
      <c r="O295" s="26"/>
      <c r="P295" s="26" t="s">
        <v>83</v>
      </c>
      <c r="Q295" s="26"/>
      <c r="R295" s="26" t="str">
        <f t="shared" si="41"/>
        <v>10. &lt;br&gt;&lt;br&gt; Think about your &lt;b&gt;${sa11}&lt;/b&gt; purchases over &lt;b&gt;the last 12 months&lt;/b&gt;.&lt;br&gt; 
Have prices been less stable, about the same, or more stable than in the past two years?</v>
      </c>
      <c r="S295" s="26" t="s">
        <v>967</v>
      </c>
      <c r="T295" s="26"/>
      <c r="U295" s="26"/>
      <c r="V295" s="26"/>
      <c r="W295" s="26"/>
      <c r="X295" s="26"/>
      <c r="Y295" s="26"/>
      <c r="Z295" s="26"/>
    </row>
    <row r="296" spans="1:26" ht="51" hidden="1" outlineLevel="2" x14ac:dyDescent="0.2">
      <c r="A296" s="8"/>
      <c r="B296" s="12"/>
      <c r="C296" s="123" t="s">
        <v>174</v>
      </c>
      <c r="D296" s="12" t="s">
        <v>968</v>
      </c>
      <c r="E296" s="55" t="s">
        <v>91</v>
      </c>
      <c r="F296" s="55" t="s">
        <v>907</v>
      </c>
      <c r="G296" s="55">
        <f t="shared" si="35"/>
        <v>10</v>
      </c>
      <c r="H296" s="137" t="s">
        <v>969</v>
      </c>
      <c r="I296" s="12"/>
      <c r="J296" s="12"/>
      <c r="K296" s="12"/>
      <c r="L296" s="12" t="s">
        <v>813</v>
      </c>
      <c r="M296" s="12"/>
      <c r="N296" s="12"/>
      <c r="O296" s="12"/>
      <c r="P296" s="12"/>
      <c r="Q296" s="12"/>
      <c r="R296" s="12" t="str">
        <f t="shared" si="41"/>
        <v>Antimalarial procurement, payment, stability</v>
      </c>
      <c r="S296" s="12" t="s">
        <v>814</v>
      </c>
      <c r="T296" s="12"/>
      <c r="U296" s="12"/>
      <c r="V296" s="12"/>
      <c r="W296" s="12"/>
      <c r="X296" s="12"/>
      <c r="Y296" s="12"/>
      <c r="Z296" s="12"/>
    </row>
    <row r="297" spans="1:26" ht="15.75" hidden="1" outlineLevel="2" x14ac:dyDescent="0.2">
      <c r="A297" s="8"/>
      <c r="B297" s="12"/>
      <c r="C297" s="123"/>
      <c r="D297" s="12"/>
      <c r="E297" s="55"/>
      <c r="F297" s="55"/>
      <c r="G297" s="55"/>
      <c r="H297" s="12"/>
      <c r="I297" s="12"/>
      <c r="J297" s="12"/>
      <c r="K297" s="12"/>
      <c r="L297" s="12"/>
      <c r="M297" s="12"/>
      <c r="N297" s="12"/>
      <c r="O297" s="12"/>
      <c r="P297" s="12"/>
      <c r="Q297" s="12"/>
      <c r="R297" s="11"/>
      <c r="S297" s="11"/>
      <c r="T297" s="11"/>
      <c r="U297" s="11"/>
      <c r="V297" s="12"/>
      <c r="W297" s="12"/>
      <c r="X297" s="12"/>
      <c r="Y297" s="12"/>
      <c r="Z297" s="12"/>
    </row>
    <row r="298" spans="1:26" ht="15.75" outlineLevel="2" x14ac:dyDescent="0.2">
      <c r="A298" s="20"/>
      <c r="B298" s="41"/>
      <c r="C298" s="124" t="s">
        <v>89</v>
      </c>
      <c r="D298" s="23" t="s">
        <v>970</v>
      </c>
      <c r="E298" s="24" t="s">
        <v>91</v>
      </c>
      <c r="F298" s="24" t="s">
        <v>971</v>
      </c>
      <c r="G298" s="24">
        <f t="shared" ref="G298:G304" si="42">IF(E298="no", G297, IF(F298=F297, G297+1, 1))</f>
        <v>0</v>
      </c>
      <c r="H298" s="59" t="s">
        <v>972</v>
      </c>
      <c r="I298" s="23"/>
      <c r="J298" s="23"/>
      <c r="K298" s="23"/>
      <c r="L298" s="23" t="s">
        <v>973</v>
      </c>
      <c r="M298" s="23"/>
      <c r="N298" s="23"/>
      <c r="O298" s="23"/>
      <c r="P298" s="23"/>
      <c r="Q298" s="23"/>
      <c r="R298" s="25" t="str">
        <f t="shared" ref="R298:R303" si="43">IF(E298="no", H298, CONCATENATE(G298,". &lt;br&gt;",H298))</f>
        <v>Wholesale business practices</v>
      </c>
      <c r="S298" s="25" t="s">
        <v>974</v>
      </c>
      <c r="T298" s="25"/>
      <c r="U298" s="25"/>
      <c r="V298" s="26"/>
      <c r="W298" s="26"/>
      <c r="X298" s="26"/>
      <c r="Y298" s="26"/>
      <c r="Z298" s="26"/>
    </row>
    <row r="299" spans="1:26" ht="15.75" hidden="1" outlineLevel="2" x14ac:dyDescent="0.2">
      <c r="A299" s="28"/>
      <c r="B299" s="23"/>
      <c r="C299" s="124" t="s">
        <v>451</v>
      </c>
      <c r="D299" s="23" t="s">
        <v>975</v>
      </c>
      <c r="E299" s="24" t="s">
        <v>83</v>
      </c>
      <c r="F299" s="24" t="s">
        <v>971</v>
      </c>
      <c r="G299" s="24">
        <f t="shared" si="42"/>
        <v>1</v>
      </c>
      <c r="H299" s="10" t="s">
        <v>976</v>
      </c>
      <c r="I299" s="23"/>
      <c r="J299" s="23"/>
      <c r="K299" s="23"/>
      <c r="L299" s="23"/>
      <c r="M299" s="23"/>
      <c r="N299" s="23"/>
      <c r="O299" s="23"/>
      <c r="P299" s="23" t="s">
        <v>83</v>
      </c>
      <c r="Q299" s="23"/>
      <c r="R299" s="25" t="str">
        <f t="shared" si="43"/>
        <v xml:space="preserve">1. &lt;br&gt;Do you import antimalarials? </v>
      </c>
      <c r="S299" s="25" t="s">
        <v>977</v>
      </c>
      <c r="T299" s="25"/>
      <c r="U299" s="25"/>
      <c r="V299" s="26"/>
      <c r="W299" s="26"/>
      <c r="X299" s="26"/>
      <c r="Y299" s="26"/>
      <c r="Z299" s="26"/>
    </row>
    <row r="300" spans="1:26" ht="25.5" hidden="1" outlineLevel="2" x14ac:dyDescent="0.2">
      <c r="A300" s="20"/>
      <c r="B300" s="23"/>
      <c r="C300" s="124" t="s">
        <v>144</v>
      </c>
      <c r="D300" s="23" t="s">
        <v>978</v>
      </c>
      <c r="E300" s="24" t="s">
        <v>83</v>
      </c>
      <c r="F300" s="24" t="s">
        <v>971</v>
      </c>
      <c r="G300" s="24">
        <f t="shared" si="42"/>
        <v>2</v>
      </c>
      <c r="H300" s="10" t="s">
        <v>979</v>
      </c>
      <c r="I300" s="23"/>
      <c r="J300" s="23"/>
      <c r="K300" s="23"/>
      <c r="L300" s="23" t="s">
        <v>980</v>
      </c>
      <c r="M300" s="23"/>
      <c r="N300" s="23"/>
      <c r="O300" s="23"/>
      <c r="P300" s="23" t="s">
        <v>83</v>
      </c>
      <c r="Q300" s="23"/>
      <c r="R300" s="25" t="str">
        <f t="shared" si="43"/>
        <v xml:space="preserve">2. &lt;br&gt;Where do you import antimalarials from (include company names and countries where possible). </v>
      </c>
      <c r="S300" s="25" t="s">
        <v>981</v>
      </c>
      <c r="T300" s="25"/>
      <c r="U300" s="25"/>
      <c r="V300" s="26"/>
      <c r="W300" s="26"/>
      <c r="X300" s="26"/>
      <c r="Y300" s="26"/>
      <c r="Z300" s="26"/>
    </row>
    <row r="301" spans="1:26" ht="25.5" hidden="1" outlineLevel="2" x14ac:dyDescent="0.2">
      <c r="A301" s="8"/>
      <c r="B301" s="26"/>
      <c r="C301" s="124" t="s">
        <v>451</v>
      </c>
      <c r="D301" s="23" t="s">
        <v>982</v>
      </c>
      <c r="E301" s="24" t="s">
        <v>83</v>
      </c>
      <c r="F301" s="24" t="s">
        <v>971</v>
      </c>
      <c r="G301" s="24">
        <f t="shared" si="42"/>
        <v>3</v>
      </c>
      <c r="H301" s="10" t="s">
        <v>983</v>
      </c>
      <c r="I301" s="23"/>
      <c r="J301" s="23"/>
      <c r="K301" s="23"/>
      <c r="L301" s="23"/>
      <c r="M301" s="23"/>
      <c r="N301" s="23"/>
      <c r="O301" s="23"/>
      <c r="P301" s="23" t="s">
        <v>83</v>
      </c>
      <c r="Q301" s="23"/>
      <c r="R301" s="25" t="str">
        <f t="shared" si="43"/>
        <v xml:space="preserve">3. &lt;br&gt;&lt;br&gt;In the &lt;b&gt;past 3 months&lt;/b&gt;, have you given credit to &lt;b&gt;wholesale&lt;/b&gt; customers who purchased antimalarials? </v>
      </c>
      <c r="S301" s="25" t="s">
        <v>984</v>
      </c>
      <c r="T301" s="25"/>
      <c r="U301" s="25"/>
      <c r="V301" s="26"/>
      <c r="W301" s="26"/>
      <c r="X301" s="26"/>
      <c r="Y301" s="26"/>
      <c r="Z301" s="26"/>
    </row>
    <row r="302" spans="1:26" ht="15.75" hidden="1" outlineLevel="2" x14ac:dyDescent="0.2">
      <c r="A302" s="20"/>
      <c r="B302" s="26"/>
      <c r="C302" s="124" t="s">
        <v>350</v>
      </c>
      <c r="D302" s="23" t="s">
        <v>985</v>
      </c>
      <c r="E302" s="24" t="s">
        <v>83</v>
      </c>
      <c r="F302" s="24" t="s">
        <v>971</v>
      </c>
      <c r="G302" s="24">
        <f t="shared" si="42"/>
        <v>4</v>
      </c>
      <c r="H302" s="10" t="s">
        <v>986</v>
      </c>
      <c r="I302" s="23"/>
      <c r="J302" s="23"/>
      <c r="K302" s="23"/>
      <c r="L302" s="23" t="s">
        <v>987</v>
      </c>
      <c r="M302" s="23"/>
      <c r="N302" s="23" t="s">
        <v>356</v>
      </c>
      <c r="O302" s="23"/>
      <c r="P302" s="23" t="s">
        <v>83</v>
      </c>
      <c r="Q302" s="23"/>
      <c r="R302" s="25" t="str">
        <f t="shared" si="43"/>
        <v xml:space="preserve">4. &lt;br&gt;&lt;br&gt;What are the most common terms of your credit in days? </v>
      </c>
      <c r="S302" s="25" t="s">
        <v>988</v>
      </c>
      <c r="T302" s="25"/>
      <c r="U302" s="25"/>
      <c r="V302" s="26"/>
      <c r="W302" s="26"/>
      <c r="X302" s="26"/>
      <c r="Y302" s="26"/>
      <c r="Z302" s="26"/>
    </row>
    <row r="303" spans="1:26" ht="63.75" hidden="1" outlineLevel="2" x14ac:dyDescent="0.2">
      <c r="A303" s="20"/>
      <c r="B303" s="26"/>
      <c r="C303" s="124" t="s">
        <v>76</v>
      </c>
      <c r="D303" s="23" t="s">
        <v>989</v>
      </c>
      <c r="E303" s="24" t="s">
        <v>91</v>
      </c>
      <c r="F303" s="24" t="s">
        <v>971</v>
      </c>
      <c r="G303" s="24">
        <f t="shared" si="42"/>
        <v>4</v>
      </c>
      <c r="H303" s="10" t="s">
        <v>990</v>
      </c>
      <c r="I303" s="23"/>
      <c r="J303" s="23"/>
      <c r="K303" s="23"/>
      <c r="L303" s="23" t="s">
        <v>991</v>
      </c>
      <c r="M303" s="23"/>
      <c r="N303" s="23"/>
      <c r="O303" s="23"/>
      <c r="P303" s="23"/>
      <c r="Q303" s="23"/>
      <c r="R303" s="25" t="str">
        <f t="shared" si="43"/>
        <v>&lt;font color="red"&gt; You have entered that this wholesaler typically provides 
&lt;b&gt;&lt;font color="blue"&gt;${ws13}&lt;/b&gt;&lt;font color="red"&gt;  days credit for customers who purchase antimalarials.
&lt;br&gt;If that is correct, proceed.
&lt;br&gt;If not, go back and edit your response.&lt;br&gt;</v>
      </c>
      <c r="S303" s="25" t="s">
        <v>992</v>
      </c>
      <c r="T303" s="25"/>
      <c r="U303" s="25"/>
      <c r="V303" s="26"/>
      <c r="W303" s="26"/>
      <c r="X303" s="26"/>
      <c r="Y303" s="26"/>
      <c r="Z303" s="26"/>
    </row>
    <row r="304" spans="1:26" ht="15.75" hidden="1" outlineLevel="2" x14ac:dyDescent="0.2">
      <c r="A304" s="20"/>
      <c r="B304" s="26"/>
      <c r="C304" s="124" t="s">
        <v>174</v>
      </c>
      <c r="D304" s="23" t="s">
        <v>970</v>
      </c>
      <c r="E304" s="24" t="s">
        <v>91</v>
      </c>
      <c r="F304" s="24" t="s">
        <v>971</v>
      </c>
      <c r="G304" s="24">
        <f t="shared" si="42"/>
        <v>4</v>
      </c>
      <c r="H304" s="10"/>
      <c r="I304" s="23"/>
      <c r="J304" s="23"/>
      <c r="K304" s="23"/>
      <c r="L304" s="23"/>
      <c r="M304" s="23"/>
      <c r="N304" s="23"/>
      <c r="O304" s="23"/>
      <c r="P304" s="23"/>
      <c r="Q304" s="23"/>
      <c r="R304" s="25"/>
      <c r="S304" s="25"/>
      <c r="T304" s="25"/>
      <c r="U304" s="25"/>
      <c r="V304" s="26"/>
      <c r="W304" s="26"/>
      <c r="X304" s="26"/>
      <c r="Y304" s="26"/>
      <c r="Z304" s="26"/>
    </row>
    <row r="305" spans="1:26" ht="15.75" hidden="1" outlineLevel="2" x14ac:dyDescent="0.2">
      <c r="A305" s="20"/>
      <c r="B305" s="12"/>
      <c r="C305" s="123"/>
      <c r="D305" s="10"/>
      <c r="E305" s="15"/>
      <c r="F305" s="15"/>
      <c r="G305" s="15"/>
      <c r="H305" s="10"/>
      <c r="I305" s="10"/>
      <c r="J305" s="10"/>
      <c r="K305" s="10"/>
      <c r="L305" s="10"/>
      <c r="M305" s="10"/>
      <c r="N305" s="10"/>
      <c r="O305" s="10"/>
      <c r="P305" s="10"/>
      <c r="Q305" s="10"/>
      <c r="R305" s="11"/>
      <c r="S305" s="11"/>
      <c r="T305" s="11"/>
      <c r="U305" s="11"/>
      <c r="V305" s="12"/>
      <c r="W305" s="12"/>
      <c r="X305" s="12"/>
      <c r="Y305" s="12"/>
      <c r="Z305" s="12"/>
    </row>
    <row r="306" spans="1:26" ht="15.75" outlineLevel="2" x14ac:dyDescent="0.2">
      <c r="A306" s="20"/>
      <c r="B306" s="26"/>
      <c r="C306" s="125" t="s">
        <v>89</v>
      </c>
      <c r="D306" s="23" t="s">
        <v>993</v>
      </c>
      <c r="E306" s="24" t="s">
        <v>91</v>
      </c>
      <c r="F306" s="24" t="s">
        <v>994</v>
      </c>
      <c r="G306" s="24">
        <f t="shared" ref="G306:G310" si="44">IF(E306="no", G305, IF(F306=F305, G305+1, 1))</f>
        <v>0</v>
      </c>
      <c r="H306" s="59" t="s">
        <v>995</v>
      </c>
      <c r="I306" s="23"/>
      <c r="J306" s="23"/>
      <c r="K306" s="23"/>
      <c r="L306" s="23" t="s">
        <v>166</v>
      </c>
      <c r="M306" s="23"/>
      <c r="N306" s="23"/>
      <c r="O306" s="23"/>
      <c r="P306" s="23"/>
      <c r="Q306" s="23"/>
      <c r="R306" s="25" t="str">
        <f t="shared" ref="R306:R309" si="45">IF(E306="no", H306, CONCATENATE(G306,". &lt;br&gt;",H306))</f>
        <v>Business network</v>
      </c>
      <c r="S306" s="25" t="s">
        <v>996</v>
      </c>
      <c r="T306" s="25"/>
      <c r="U306" s="25"/>
      <c r="V306" s="26"/>
      <c r="W306" s="26"/>
      <c r="X306" s="26"/>
      <c r="Y306" s="26"/>
      <c r="Z306" s="26"/>
    </row>
    <row r="307" spans="1:26" ht="25.5" hidden="1" outlineLevel="2" x14ac:dyDescent="0.2">
      <c r="A307" s="20"/>
      <c r="B307" s="26"/>
      <c r="C307" s="125" t="s">
        <v>927</v>
      </c>
      <c r="D307" s="23" t="s">
        <v>997</v>
      </c>
      <c r="E307" s="24" t="s">
        <v>83</v>
      </c>
      <c r="F307" s="24" t="s">
        <v>994</v>
      </c>
      <c r="G307" s="24">
        <f t="shared" si="44"/>
        <v>1</v>
      </c>
      <c r="H307" s="10" t="s">
        <v>998</v>
      </c>
      <c r="I307" s="23"/>
      <c r="J307" s="23"/>
      <c r="K307" s="23"/>
      <c r="L307" s="23"/>
      <c r="M307" s="23"/>
      <c r="N307" s="23"/>
      <c r="O307" s="23"/>
      <c r="P307" s="23" t="s">
        <v>83</v>
      </c>
      <c r="Q307" s="23"/>
      <c r="R307" s="25" t="str">
        <f t="shared" si="45"/>
        <v xml:space="preserve">1. &lt;br&gt;&lt;br&gt;Does the owner of this business own any other stores or businesses that sell antimalarials or RDTs? </v>
      </c>
      <c r="S307" s="25" t="s">
        <v>999</v>
      </c>
      <c r="T307" s="25"/>
      <c r="U307" s="25"/>
      <c r="V307" s="26"/>
      <c r="W307" s="26"/>
      <c r="X307" s="26"/>
      <c r="Y307" s="26"/>
      <c r="Z307" s="26"/>
    </row>
    <row r="308" spans="1:26" ht="25.5" hidden="1" outlineLevel="2" x14ac:dyDescent="0.2">
      <c r="A308" s="20"/>
      <c r="B308" s="41"/>
      <c r="C308" s="125" t="s">
        <v>1000</v>
      </c>
      <c r="D308" s="23" t="s">
        <v>1001</v>
      </c>
      <c r="E308" s="24" t="s">
        <v>83</v>
      </c>
      <c r="F308" s="24" t="s">
        <v>994</v>
      </c>
      <c r="G308" s="24">
        <f t="shared" si="44"/>
        <v>2</v>
      </c>
      <c r="H308" s="10" t="s">
        <v>1002</v>
      </c>
      <c r="I308" s="23"/>
      <c r="J308" s="23"/>
      <c r="K308" s="23"/>
      <c r="L308" s="23" t="s">
        <v>1003</v>
      </c>
      <c r="M308" s="23"/>
      <c r="N308" s="23" t="s">
        <v>411</v>
      </c>
      <c r="O308" s="23"/>
      <c r="P308" s="23" t="s">
        <v>83</v>
      </c>
      <c r="Q308" s="23"/>
      <c r="R308" s="25" t="str">
        <f t="shared" si="45"/>
        <v xml:space="preserve">2. &lt;br&gt;&lt;br&gt;What types of other stores or businesses does the owner own that sell antimalarials or RDTs? </v>
      </c>
      <c r="S308" s="25" t="s">
        <v>1004</v>
      </c>
      <c r="T308" s="25"/>
      <c r="U308" s="25"/>
      <c r="V308" s="26"/>
      <c r="W308" s="26"/>
      <c r="X308" s="26"/>
      <c r="Y308" s="26"/>
      <c r="Z308" s="26"/>
    </row>
    <row r="309" spans="1:26" ht="15.75" hidden="1" outlineLevel="2" x14ac:dyDescent="0.2">
      <c r="A309" s="20"/>
      <c r="B309" s="26"/>
      <c r="C309" s="125" t="s">
        <v>144</v>
      </c>
      <c r="D309" s="23" t="s">
        <v>1005</v>
      </c>
      <c r="E309" s="24" t="s">
        <v>91</v>
      </c>
      <c r="F309" s="24" t="s">
        <v>994</v>
      </c>
      <c r="G309" s="24">
        <f t="shared" si="44"/>
        <v>2</v>
      </c>
      <c r="H309" s="10" t="s">
        <v>1006</v>
      </c>
      <c r="I309" s="23"/>
      <c r="J309" s="23"/>
      <c r="K309" s="23"/>
      <c r="L309" s="23" t="s">
        <v>1007</v>
      </c>
      <c r="M309" s="23"/>
      <c r="N309" s="23"/>
      <c r="O309" s="23"/>
      <c r="P309" s="23" t="s">
        <v>83</v>
      </c>
      <c r="Q309" s="23"/>
      <c r="R309" s="25" t="str">
        <f t="shared" si="45"/>
        <v>Specify other business type:</v>
      </c>
      <c r="S309" s="25" t="s">
        <v>1008</v>
      </c>
      <c r="T309" s="25"/>
      <c r="U309" s="25"/>
      <c r="V309" s="26"/>
      <c r="W309" s="26"/>
      <c r="X309" s="26"/>
      <c r="Y309" s="26"/>
      <c r="Z309" s="26"/>
    </row>
    <row r="310" spans="1:26" ht="15.75" hidden="1" outlineLevel="2" x14ac:dyDescent="0.2">
      <c r="A310" s="20"/>
      <c r="B310" s="23"/>
      <c r="C310" s="124" t="s">
        <v>174</v>
      </c>
      <c r="D310" s="23" t="s">
        <v>993</v>
      </c>
      <c r="E310" s="24" t="s">
        <v>91</v>
      </c>
      <c r="F310" s="24" t="s">
        <v>994</v>
      </c>
      <c r="G310" s="24">
        <f t="shared" si="44"/>
        <v>2</v>
      </c>
      <c r="H310" s="10"/>
      <c r="I310" s="23"/>
      <c r="J310" s="23"/>
      <c r="K310" s="23"/>
      <c r="L310" s="23"/>
      <c r="M310" s="23"/>
      <c r="N310" s="23"/>
      <c r="O310" s="23"/>
      <c r="P310" s="23"/>
      <c r="Q310" s="23"/>
      <c r="R310" s="25"/>
      <c r="S310" s="25"/>
      <c r="T310" s="25"/>
      <c r="U310" s="25"/>
      <c r="V310" s="26"/>
      <c r="W310" s="26"/>
      <c r="X310" s="26"/>
      <c r="Y310" s="26"/>
      <c r="Z310" s="26"/>
    </row>
    <row r="311" spans="1:26" ht="15.75" hidden="1" outlineLevel="2" x14ac:dyDescent="0.2">
      <c r="A311" s="40"/>
      <c r="B311" s="10"/>
      <c r="C311" s="114"/>
      <c r="D311" s="10"/>
      <c r="E311" s="15"/>
      <c r="F311" s="15"/>
      <c r="G311" s="15">
        <f>IF(E311="no", G310, IF(F311=F310,#REF!+ 1, 1))</f>
        <v>1</v>
      </c>
      <c r="H311" s="10"/>
      <c r="I311" s="10"/>
      <c r="J311" s="10"/>
      <c r="K311" s="10"/>
      <c r="L311" s="10"/>
      <c r="M311" s="10"/>
      <c r="N311" s="10"/>
      <c r="O311" s="10"/>
      <c r="P311" s="10"/>
      <c r="Q311" s="10"/>
      <c r="R311" s="11"/>
      <c r="S311" s="11"/>
      <c r="T311" s="11"/>
      <c r="U311" s="11"/>
      <c r="V311" s="12"/>
      <c r="W311" s="12"/>
      <c r="X311" s="12"/>
      <c r="Y311" s="12"/>
      <c r="Z311" s="12"/>
    </row>
    <row r="312" spans="1:26" ht="63.75" hidden="1" outlineLevel="2" x14ac:dyDescent="0.2">
      <c r="A312" s="20"/>
      <c r="B312" s="12"/>
      <c r="C312" s="114" t="s">
        <v>144</v>
      </c>
      <c r="D312" s="10" t="s">
        <v>1009</v>
      </c>
      <c r="E312" s="15" t="s">
        <v>83</v>
      </c>
      <c r="F312" s="15">
        <v>7</v>
      </c>
      <c r="G312" s="15">
        <f t="shared" ref="G312:G313" si="46">IF(E312="no", G311, IF(F312=F311, G297+1, 1))</f>
        <v>1</v>
      </c>
      <c r="H312" s="10" t="s">
        <v>1010</v>
      </c>
      <c r="I312" s="10"/>
      <c r="J312" s="10"/>
      <c r="K312" s="10"/>
      <c r="L312" s="10"/>
      <c r="M312" s="10"/>
      <c r="N312" s="10"/>
      <c r="O312" s="10"/>
      <c r="P312" s="10" t="s">
        <v>91</v>
      </c>
      <c r="Q312" s="10"/>
      <c r="R312" s="11" t="str">
        <f>IF(E312="no", H312, CONCATENATE(G312,". &lt;br&gt;",H312))</f>
        <v>1. &lt;br&gt;&lt;font color=blue&gt;&lt;b&gt;Interviewer: &lt;/b&gt;&lt;/font&gt;&lt;br&gt;
[OPTIONAL] &lt;br&gt; Please add any other comments or description of  their customers, business practices, or distribution network here.</v>
      </c>
      <c r="S312" s="11" t="s">
        <v>1011</v>
      </c>
      <c r="T312" s="11"/>
      <c r="U312" s="11"/>
      <c r="V312" s="12"/>
      <c r="W312" s="12"/>
      <c r="X312" s="12"/>
      <c r="Y312" s="12"/>
      <c r="Z312" s="12"/>
    </row>
    <row r="313" spans="1:26" ht="15.75" hidden="1" outlineLevel="2" x14ac:dyDescent="0.2">
      <c r="A313" s="8"/>
      <c r="B313" s="10"/>
      <c r="C313" s="19" t="s">
        <v>174</v>
      </c>
      <c r="D313" s="120" t="s">
        <v>669</v>
      </c>
      <c r="E313" s="121"/>
      <c r="F313" s="121">
        <v>7</v>
      </c>
      <c r="G313" s="139">
        <f t="shared" si="46"/>
        <v>1</v>
      </c>
      <c r="H313" s="122"/>
      <c r="I313" s="120"/>
      <c r="J313" s="120"/>
      <c r="K313" s="120"/>
      <c r="L313" s="120"/>
      <c r="M313" s="120"/>
      <c r="N313" s="120"/>
      <c r="O313" s="120"/>
      <c r="P313" s="120"/>
      <c r="Q313" s="120"/>
      <c r="R313" s="120"/>
      <c r="S313" s="120"/>
      <c r="T313" s="120"/>
      <c r="U313" s="120"/>
      <c r="V313" s="16"/>
      <c r="W313" s="16"/>
      <c r="X313" s="16"/>
      <c r="Y313" s="16"/>
      <c r="Z313" s="16"/>
    </row>
    <row r="314" spans="1:26" ht="114.75" hidden="1" outlineLevel="1" x14ac:dyDescent="0.2">
      <c r="A314" s="9" t="s">
        <v>175</v>
      </c>
      <c r="B314" s="9" t="s">
        <v>431</v>
      </c>
      <c r="C314" s="123" t="s">
        <v>182</v>
      </c>
      <c r="D314" s="12" t="s">
        <v>1012</v>
      </c>
      <c r="E314" s="15"/>
      <c r="F314" s="15">
        <v>7</v>
      </c>
      <c r="G314" s="15" t="s">
        <v>1013</v>
      </c>
      <c r="H314" s="12" t="s">
        <v>1014</v>
      </c>
      <c r="I314" s="12"/>
      <c r="J314" s="12"/>
      <c r="K314" s="12"/>
      <c r="L314" s="120" t="s">
        <v>671</v>
      </c>
      <c r="M314" s="12"/>
      <c r="N314" s="12"/>
      <c r="O314" s="12"/>
      <c r="P314" s="10" t="s">
        <v>83</v>
      </c>
      <c r="Q314" s="12">
        <v>1</v>
      </c>
      <c r="R314" s="11" t="str">
        <f>IF(E314="no", H314, CONCATENATE(G314,". &lt;br&gt;",H314))</f>
        <v>End of Section 7 of X. &lt;br&gt;&lt;font color="green"&gt;CHECKPOINT 7&lt;br&gt;&lt;br&gt;&lt;b&gt;INTERVIEWER&lt;/b&gt;&lt;br&gt;Are you able to continue the interview, that is, this interview &lt;b&gt;has not&lt;/b&gt; been interrupted?&lt;/font&gt;</v>
      </c>
      <c r="S314" s="11" t="s">
        <v>551</v>
      </c>
      <c r="T314" s="11"/>
      <c r="U314" s="11"/>
      <c r="V314" s="12"/>
      <c r="W314" s="12"/>
      <c r="X314" s="12"/>
      <c r="Y314" s="12"/>
      <c r="Z314" s="12"/>
    </row>
    <row r="315" spans="1:26" hidden="1" x14ac:dyDescent="0.2">
      <c r="A315" s="9" t="s">
        <v>318</v>
      </c>
      <c r="B315" s="12"/>
      <c r="C315" s="123"/>
      <c r="D315" s="12"/>
      <c r="E315" s="55"/>
      <c r="F315" s="55"/>
      <c r="G315" s="15"/>
      <c r="H315" s="12"/>
      <c r="I315" s="12"/>
      <c r="J315" s="12"/>
      <c r="K315" s="12"/>
      <c r="L315" s="12"/>
      <c r="M315" s="12"/>
      <c r="N315" s="12"/>
      <c r="O315" s="12"/>
      <c r="P315" s="12"/>
      <c r="Q315" s="12"/>
      <c r="R315" s="11"/>
      <c r="S315" s="11"/>
      <c r="T315" s="11"/>
      <c r="U315" s="11"/>
      <c r="V315" s="12"/>
      <c r="W315" s="12"/>
      <c r="X315" s="12"/>
      <c r="Y315" s="12"/>
      <c r="Z315" s="12"/>
    </row>
    <row r="316" spans="1:26" ht="15.75" hidden="1" x14ac:dyDescent="0.2">
      <c r="A316" s="8"/>
      <c r="B316" s="12"/>
      <c r="C316" s="123"/>
      <c r="D316" s="12"/>
      <c r="E316" s="55"/>
      <c r="F316" s="55"/>
      <c r="G316" s="15"/>
      <c r="H316" s="12"/>
      <c r="I316" s="12"/>
      <c r="J316" s="12"/>
      <c r="K316" s="12"/>
      <c r="L316" s="12"/>
      <c r="M316" s="12"/>
      <c r="N316" s="12"/>
      <c r="O316" s="12"/>
      <c r="P316" s="12"/>
      <c r="Q316" s="12"/>
      <c r="R316" s="11"/>
      <c r="S316" s="11"/>
      <c r="T316" s="11"/>
      <c r="U316" s="11"/>
      <c r="V316" s="12"/>
      <c r="W316" s="12"/>
      <c r="X316" s="12"/>
      <c r="Y316" s="12"/>
      <c r="Z316" s="12"/>
    </row>
    <row r="317" spans="1:26" ht="15.75" hidden="1" x14ac:dyDescent="0.2">
      <c r="A317" s="8"/>
      <c r="B317" s="12"/>
      <c r="C317" s="123"/>
      <c r="D317" s="12"/>
      <c r="E317" s="55"/>
      <c r="F317" s="55"/>
      <c r="G317" s="15"/>
      <c r="H317" s="12"/>
      <c r="I317" s="12"/>
      <c r="J317" s="12"/>
      <c r="K317" s="12"/>
      <c r="L317" s="12"/>
      <c r="M317" s="12"/>
      <c r="N317" s="12"/>
      <c r="O317" s="12"/>
      <c r="P317" s="12"/>
      <c r="Q317" s="12"/>
      <c r="R317" s="11"/>
      <c r="S317" s="11"/>
      <c r="T317" s="11"/>
      <c r="U317" s="11"/>
      <c r="V317" s="12"/>
      <c r="W317" s="12"/>
      <c r="X317" s="12"/>
      <c r="Y317" s="12"/>
      <c r="Z317" s="12"/>
    </row>
    <row r="318" spans="1:26" ht="15.75" hidden="1" x14ac:dyDescent="0.2">
      <c r="A318" s="8"/>
      <c r="B318" s="12"/>
      <c r="C318" s="123"/>
      <c r="D318" s="12"/>
      <c r="E318" s="55"/>
      <c r="F318" s="55"/>
      <c r="G318" s="15"/>
      <c r="H318" s="12"/>
      <c r="I318" s="12"/>
      <c r="J318" s="12"/>
      <c r="K318" s="12"/>
      <c r="L318" s="12"/>
      <c r="M318" s="12"/>
      <c r="N318" s="12"/>
      <c r="O318" s="12"/>
      <c r="P318" s="12"/>
      <c r="Q318" s="12"/>
      <c r="R318" s="11"/>
      <c r="S318" s="11"/>
      <c r="T318" s="11"/>
      <c r="U318" s="11"/>
      <c r="V318" s="12"/>
      <c r="W318" s="12"/>
      <c r="X318" s="12"/>
      <c r="Y318" s="12"/>
      <c r="Z318" s="12"/>
    </row>
    <row r="319" spans="1:26" ht="15.75" hidden="1" x14ac:dyDescent="0.2">
      <c r="A319" s="8"/>
      <c r="B319" s="12"/>
      <c r="C319" s="123"/>
      <c r="D319" s="12"/>
      <c r="E319" s="55"/>
      <c r="F319" s="55"/>
      <c r="G319" s="15"/>
      <c r="H319" s="12"/>
      <c r="I319" s="12"/>
      <c r="J319" s="12"/>
      <c r="K319" s="12"/>
      <c r="L319" s="12"/>
      <c r="M319" s="12"/>
      <c r="N319" s="12"/>
      <c r="O319" s="12"/>
      <c r="P319" s="12"/>
      <c r="Q319" s="12"/>
      <c r="R319" s="11"/>
      <c r="S319" s="11"/>
      <c r="T319" s="11"/>
      <c r="U319" s="11"/>
      <c r="V319" s="12"/>
      <c r="W319" s="12"/>
      <c r="X319" s="12"/>
      <c r="Y319" s="12"/>
      <c r="Z319" s="12"/>
    </row>
    <row r="320" spans="1:26" ht="15.75" hidden="1" x14ac:dyDescent="0.2">
      <c r="A320" s="8"/>
      <c r="B320" s="12"/>
      <c r="C320" s="123"/>
      <c r="D320" s="12"/>
      <c r="E320" s="55"/>
      <c r="F320" s="55"/>
      <c r="G320" s="15"/>
      <c r="H320" s="12"/>
      <c r="I320" s="12"/>
      <c r="J320" s="12"/>
      <c r="K320" s="12"/>
      <c r="L320" s="12"/>
      <c r="M320" s="12"/>
      <c r="N320" s="12"/>
      <c r="O320" s="12"/>
      <c r="P320" s="12"/>
      <c r="Q320" s="12"/>
      <c r="R320" s="11"/>
      <c r="S320" s="11"/>
      <c r="T320" s="11"/>
      <c r="U320" s="11"/>
      <c r="V320" s="12"/>
      <c r="W320" s="12"/>
      <c r="X320" s="12"/>
      <c r="Y320" s="12"/>
      <c r="Z320" s="12"/>
    </row>
    <row r="321" spans="1:26" ht="63" hidden="1" x14ac:dyDescent="0.2">
      <c r="A321" s="115" t="s">
        <v>1015</v>
      </c>
      <c r="B321" s="140"/>
      <c r="C321" s="69"/>
      <c r="D321" s="141"/>
      <c r="E321" s="141"/>
      <c r="F321" s="141"/>
      <c r="G321" s="141"/>
      <c r="H321" s="141"/>
      <c r="I321" s="141"/>
      <c r="J321" s="141"/>
      <c r="K321" s="141"/>
      <c r="L321" s="141"/>
      <c r="M321" s="141"/>
      <c r="N321" s="141"/>
      <c r="O321" s="141"/>
      <c r="P321" s="141"/>
      <c r="Q321" s="141"/>
      <c r="R321" s="141"/>
      <c r="S321" s="141"/>
      <c r="T321" s="141"/>
      <c r="U321" s="141"/>
      <c r="V321" s="16"/>
      <c r="W321" s="16"/>
      <c r="X321" s="16"/>
      <c r="Y321" s="16"/>
      <c r="Z321" s="16"/>
    </row>
    <row r="322" spans="1:26" ht="15.75" hidden="1" outlineLevel="1" x14ac:dyDescent="0.2">
      <c r="A322" s="8"/>
      <c r="B322" s="12"/>
      <c r="C322" s="123"/>
      <c r="D322" s="12"/>
      <c r="E322" s="55"/>
      <c r="F322" s="55"/>
      <c r="G322" s="15"/>
      <c r="H322" s="12"/>
      <c r="I322" s="12"/>
      <c r="J322" s="12"/>
      <c r="K322" s="12"/>
      <c r="L322" s="12"/>
      <c r="M322" s="12"/>
      <c r="N322" s="12"/>
      <c r="O322" s="12"/>
      <c r="P322" s="12"/>
      <c r="Q322" s="12"/>
      <c r="R322" s="70"/>
      <c r="S322" s="70"/>
      <c r="T322" s="70"/>
      <c r="U322" s="70"/>
      <c r="V322" s="12"/>
      <c r="W322" s="12"/>
      <c r="X322" s="12"/>
      <c r="Y322" s="12"/>
      <c r="Z322" s="12"/>
    </row>
    <row r="323" spans="1:26" ht="38.25" outlineLevel="1" x14ac:dyDescent="0.2">
      <c r="A323" s="119" t="s">
        <v>27</v>
      </c>
      <c r="B323" s="116" t="s">
        <v>1016</v>
      </c>
      <c r="C323" s="19" t="s">
        <v>89</v>
      </c>
      <c r="D323" s="120" t="s">
        <v>1017</v>
      </c>
      <c r="E323" s="121" t="s">
        <v>91</v>
      </c>
      <c r="F323" s="121">
        <v>1</v>
      </c>
      <c r="G323" s="121" t="s">
        <v>329</v>
      </c>
      <c r="H323" s="122" t="s">
        <v>27</v>
      </c>
      <c r="I323" s="120"/>
      <c r="J323" s="120"/>
      <c r="K323" s="120"/>
      <c r="L323" s="120" t="s">
        <v>1018</v>
      </c>
      <c r="M323" s="120"/>
      <c r="N323" s="120"/>
      <c r="O323" s="120"/>
      <c r="P323" s="120"/>
      <c r="Q323" s="120"/>
      <c r="R323" s="120" t="str">
        <f t="shared" ref="R323:R334" si="47">IF(E323="no", H323, CONCATENATE(G323,". &lt;br&gt;",H323))</f>
        <v>Antimalarial Audit Section</v>
      </c>
      <c r="S323" s="120" t="s">
        <v>1019</v>
      </c>
      <c r="T323" s="120"/>
      <c r="U323" s="120"/>
      <c r="V323" s="16"/>
      <c r="W323" s="16"/>
      <c r="X323" s="16"/>
      <c r="Y323" s="16"/>
      <c r="Z323" s="16"/>
    </row>
    <row r="324" spans="1:26" ht="102" hidden="1" outlineLevel="1" x14ac:dyDescent="0.2">
      <c r="A324" s="8"/>
      <c r="B324" s="29"/>
      <c r="C324" s="125" t="s">
        <v>1020</v>
      </c>
      <c r="D324" s="26" t="s">
        <v>1021</v>
      </c>
      <c r="E324" s="67" t="s">
        <v>83</v>
      </c>
      <c r="F324" s="67">
        <v>1</v>
      </c>
      <c r="G324" s="24" t="s">
        <v>329</v>
      </c>
      <c r="H324" s="12" t="s">
        <v>1022</v>
      </c>
      <c r="I324" s="26"/>
      <c r="J324" s="26"/>
      <c r="K324" s="26"/>
      <c r="L324" s="26"/>
      <c r="M324" s="26"/>
      <c r="N324" s="26"/>
      <c r="O324" s="26"/>
      <c r="P324" s="26" t="s">
        <v>83</v>
      </c>
      <c r="Q324" s="26"/>
      <c r="R324" s="26" t="str">
        <f t="shared" si="47"/>
        <v xml:space="preserve">0. &lt;br&gt;&lt;h4&gt;Antimalarial Audit&lt;/h4&gt;
&lt;br&gt;
&lt;br&gt;&lt;font color=blue&gt;&lt;i&gt;Interviewer: Show the photo catalogue of antimalarials and request to see the full range of antimalarials the outlet currently has in stock.&lt;/i&gt;&lt;/font&gt;
 &lt;br&gt;
&lt;br&gt;&lt;br&gt;&lt;b&gt;Confirm the presence of at least one antimalarial at this outlet: &lt;/b&gt;
</v>
      </c>
      <c r="S324" s="26" t="s">
        <v>1023</v>
      </c>
      <c r="T324" s="26"/>
      <c r="U324" s="26"/>
      <c r="V324" s="29"/>
      <c r="W324" s="29"/>
      <c r="X324" s="29"/>
      <c r="Y324" s="29"/>
      <c r="Z324" s="29"/>
    </row>
    <row r="325" spans="1:26" ht="127.5" hidden="1" outlineLevel="1" x14ac:dyDescent="0.2">
      <c r="A325" s="8"/>
      <c r="B325" s="29"/>
      <c r="C325" s="125" t="s">
        <v>1024</v>
      </c>
      <c r="D325" s="26" t="s">
        <v>1025</v>
      </c>
      <c r="E325" s="67" t="s">
        <v>91</v>
      </c>
      <c r="F325" s="67">
        <v>1</v>
      </c>
      <c r="G325" s="24" t="s">
        <v>329</v>
      </c>
      <c r="H325" s="12" t="s">
        <v>1026</v>
      </c>
      <c r="I325" s="26"/>
      <c r="J325" s="26"/>
      <c r="K325" s="26"/>
      <c r="L325" s="26" t="s">
        <v>1027</v>
      </c>
      <c r="M325" s="26"/>
      <c r="N325" s="26"/>
      <c r="O325" s="26"/>
      <c r="P325" s="26" t="s">
        <v>83</v>
      </c>
      <c r="Q325" s="26"/>
      <c r="R325" s="26" t="str">
        <f t="shared" si="47"/>
        <v xml:space="preserve">&lt;font color=red&gt;During the screening section of this interview, the provider said antimalarials were present. 
&lt;b&gt;Please confirm the provider doesn't have any products physically available, or indicate here why there is a discrepancy in responses e.g. the provider doesn't want to show them, etc.&lt;/b&gt;
Otherwise, go back and change your response to the previous question and continue with the audit.
 </v>
      </c>
      <c r="S325" s="26" t="s">
        <v>1028</v>
      </c>
      <c r="T325" s="26"/>
      <c r="U325" s="26"/>
      <c r="V325" s="29"/>
      <c r="W325" s="29"/>
      <c r="X325" s="29"/>
      <c r="Y325" s="29"/>
      <c r="Z325" s="29"/>
    </row>
    <row r="326" spans="1:26" ht="15.75" hidden="1" outlineLevel="1" x14ac:dyDescent="0.2">
      <c r="A326" s="8"/>
      <c r="B326" s="29"/>
      <c r="C326" s="125" t="s">
        <v>144</v>
      </c>
      <c r="D326" s="26" t="s">
        <v>1029</v>
      </c>
      <c r="E326" s="67" t="s">
        <v>91</v>
      </c>
      <c r="F326" s="67">
        <v>1</v>
      </c>
      <c r="G326" s="24" t="s">
        <v>329</v>
      </c>
      <c r="H326" s="12" t="s">
        <v>192</v>
      </c>
      <c r="I326" s="26"/>
      <c r="J326" s="26"/>
      <c r="K326" s="26"/>
      <c r="L326" s="26" t="s">
        <v>1030</v>
      </c>
      <c r="M326" s="26"/>
      <c r="N326" s="26"/>
      <c r="O326" s="26"/>
      <c r="P326" s="26" t="s">
        <v>83</v>
      </c>
      <c r="Q326" s="26"/>
      <c r="R326" s="26" t="str">
        <f t="shared" si="47"/>
        <v>Specify other reason:</v>
      </c>
      <c r="S326" s="26" t="s">
        <v>1031</v>
      </c>
      <c r="T326" s="26"/>
      <c r="U326" s="26"/>
      <c r="V326" s="29"/>
      <c r="W326" s="29"/>
      <c r="X326" s="29"/>
      <c r="Y326" s="29"/>
      <c r="Z326" s="29"/>
    </row>
    <row r="327" spans="1:26" ht="89.25" hidden="1" outlineLevel="1" x14ac:dyDescent="0.2">
      <c r="A327" s="8"/>
      <c r="B327" s="29"/>
      <c r="C327" s="125" t="s">
        <v>76</v>
      </c>
      <c r="D327" s="26" t="s">
        <v>1032</v>
      </c>
      <c r="E327" s="67" t="s">
        <v>91</v>
      </c>
      <c r="F327" s="67">
        <v>1</v>
      </c>
      <c r="G327" s="24" t="s">
        <v>329</v>
      </c>
      <c r="H327" s="12" t="s">
        <v>1033</v>
      </c>
      <c r="I327" s="26"/>
      <c r="J327" s="26"/>
      <c r="K327" s="26"/>
      <c r="L327" s="26" t="s">
        <v>1034</v>
      </c>
      <c r="M327" s="26"/>
      <c r="N327" s="26"/>
      <c r="O327" s="26"/>
      <c r="P327" s="26"/>
      <c r="Q327" s="26"/>
      <c r="R327" s="26" t="str">
        <f t="shared" si="47"/>
        <v>&lt;font color=blue&gt;&lt;h4&gt;&lt;b&gt;Interviewer: &lt;/b&gt;&lt;/h4&gt;&lt;br&gt;
&lt;i&gt;&lt;h4&gt;INTERVIEWER: Now, carry out an antimalarial medicine audit.&lt;/h4&gt; 
&lt;br&gt;
&lt;b&gt;Instructions: &lt;/b&gt;
&lt;br&gt;(1) Collect one of every antimalarial available. 
&lt;br&gt;(2) Proceed with audit by swiping forward and selecting 'Add Group'. 
&lt;br&gt;(3) Complete all questions and add new groups for each different product.</v>
      </c>
      <c r="S327" s="26" t="s">
        <v>1035</v>
      </c>
      <c r="T327" s="26"/>
      <c r="U327" s="26"/>
      <c r="V327" s="29"/>
      <c r="W327" s="29"/>
      <c r="X327" s="29"/>
      <c r="Y327" s="29"/>
      <c r="Z327" s="29"/>
    </row>
    <row r="328" spans="1:26" ht="15.75" hidden="1" outlineLevel="1" x14ac:dyDescent="0.2">
      <c r="A328" s="71"/>
      <c r="B328" s="29"/>
      <c r="C328" s="125" t="s">
        <v>1036</v>
      </c>
      <c r="D328" s="26" t="s">
        <v>1037</v>
      </c>
      <c r="E328" s="67" t="s">
        <v>91</v>
      </c>
      <c r="F328" s="67">
        <v>1</v>
      </c>
      <c r="G328" s="67" t="str">
        <f t="shared" ref="G328:G329" si="48">IF(E328="no", G327, IF(F328=F327, G327+1, 1))</f>
        <v>0</v>
      </c>
      <c r="H328" s="12" t="s">
        <v>1038</v>
      </c>
      <c r="I328" s="26"/>
      <c r="J328" s="26"/>
      <c r="K328" s="26"/>
      <c r="L328" s="26" t="s">
        <v>449</v>
      </c>
      <c r="M328" s="26"/>
      <c r="N328" s="26"/>
      <c r="O328" s="26"/>
      <c r="P328" s="26"/>
      <c r="Q328" s="26"/>
      <c r="R328" s="26" t="str">
        <f t="shared" si="47"/>
        <v>Product details</v>
      </c>
      <c r="S328" s="26" t="s">
        <v>1039</v>
      </c>
      <c r="T328" s="26"/>
      <c r="U328" s="26"/>
      <c r="V328" s="29"/>
      <c r="W328" s="29"/>
      <c r="X328" s="29"/>
      <c r="Y328" s="29"/>
      <c r="Z328" s="29"/>
    </row>
    <row r="329" spans="1:26" ht="25.5" hidden="1" outlineLevel="1" x14ac:dyDescent="0.2">
      <c r="A329" s="8"/>
      <c r="B329" s="29"/>
      <c r="C329" s="125" t="s">
        <v>1040</v>
      </c>
      <c r="D329" s="26" t="s">
        <v>1041</v>
      </c>
      <c r="E329" s="67" t="s">
        <v>91</v>
      </c>
      <c r="F329" s="67">
        <v>1</v>
      </c>
      <c r="G329" s="67" t="str">
        <f t="shared" si="48"/>
        <v>0</v>
      </c>
      <c r="H329" s="12" t="s">
        <v>1042</v>
      </c>
      <c r="I329" s="26"/>
      <c r="J329" s="26"/>
      <c r="K329" s="26"/>
      <c r="L329" s="26"/>
      <c r="M329" s="26"/>
      <c r="N329" s="26"/>
      <c r="O329" s="26"/>
      <c r="P329" s="26" t="s">
        <v>83</v>
      </c>
      <c r="Q329" s="26"/>
      <c r="R329" s="26" t="str">
        <f t="shared" si="47"/>
        <v xml:space="preserve">&lt;b&gt;INTERVIEWER: &lt;/b&gt;Please select how you would like to select the product you are auditing: </v>
      </c>
      <c r="S329" s="26" t="s">
        <v>1043</v>
      </c>
      <c r="T329" s="26"/>
      <c r="U329" s="26"/>
      <c r="V329" s="29"/>
      <c r="W329" s="29"/>
      <c r="X329" s="29"/>
      <c r="Y329" s="29"/>
      <c r="Z329" s="29"/>
    </row>
    <row r="330" spans="1:26" ht="15.75" outlineLevel="1" x14ac:dyDescent="0.2">
      <c r="A330" s="71" t="s">
        <v>1044</v>
      </c>
      <c r="B330" s="29"/>
      <c r="C330" s="125" t="s">
        <v>89</v>
      </c>
      <c r="D330" s="26" t="s">
        <v>1045</v>
      </c>
      <c r="E330" s="67" t="s">
        <v>91</v>
      </c>
      <c r="F330" s="67">
        <v>1</v>
      </c>
      <c r="G330" s="67" t="s">
        <v>329</v>
      </c>
      <c r="H330" s="12" t="s">
        <v>1046</v>
      </c>
      <c r="I330" s="26"/>
      <c r="J330" s="26"/>
      <c r="K330" s="26"/>
      <c r="L330" s="26" t="s">
        <v>1047</v>
      </c>
      <c r="M330" s="26"/>
      <c r="N330" s="26"/>
      <c r="O330" s="26"/>
      <c r="P330" s="26"/>
      <c r="Q330" s="26"/>
      <c r="R330" s="26" t="str">
        <f t="shared" si="47"/>
        <v>Database search:</v>
      </c>
      <c r="S330" s="26" t="s">
        <v>1048</v>
      </c>
      <c r="T330" s="26"/>
      <c r="U330" s="26"/>
      <c r="V330" s="29"/>
      <c r="W330" s="29"/>
      <c r="X330" s="29"/>
      <c r="Y330" s="29"/>
      <c r="Z330" s="29"/>
    </row>
    <row r="331" spans="1:26" ht="76.5" hidden="1" outlineLevel="1" x14ac:dyDescent="0.2">
      <c r="A331" s="8"/>
      <c r="B331" s="9" t="s">
        <v>1049</v>
      </c>
      <c r="C331" s="125" t="s">
        <v>451</v>
      </c>
      <c r="D331" s="26" t="s">
        <v>1050</v>
      </c>
      <c r="E331" s="67" t="s">
        <v>91</v>
      </c>
      <c r="F331" s="67">
        <v>1</v>
      </c>
      <c r="G331" s="67" t="s">
        <v>329</v>
      </c>
      <c r="H331" s="12" t="s">
        <v>1051</v>
      </c>
      <c r="I331" s="26" t="s">
        <v>1052</v>
      </c>
      <c r="J331" s="26"/>
      <c r="K331" s="26"/>
      <c r="L331" s="26"/>
      <c r="M331" s="26"/>
      <c r="N331" s="26"/>
      <c r="O331" s="26"/>
      <c r="P331" s="26" t="s">
        <v>83</v>
      </c>
      <c r="Q331" s="26"/>
      <c r="R331" s="26" t="str">
        <f t="shared" si="47"/>
        <v>Is this antimalarial a TABLET dose form?</v>
      </c>
      <c r="S331" s="26" t="s">
        <v>1053</v>
      </c>
      <c r="T331" s="26" t="s">
        <v>1054</v>
      </c>
      <c r="U331" s="26"/>
      <c r="V331" s="29"/>
      <c r="W331" s="29"/>
      <c r="X331" s="29"/>
      <c r="Y331" s="29"/>
      <c r="Z331" s="29"/>
    </row>
    <row r="332" spans="1:26" ht="15.75" outlineLevel="1" x14ac:dyDescent="0.2">
      <c r="A332" s="8"/>
      <c r="B332" s="29"/>
      <c r="C332" s="125" t="s">
        <v>89</v>
      </c>
      <c r="D332" s="26" t="s">
        <v>1055</v>
      </c>
      <c r="E332" s="67" t="s">
        <v>91</v>
      </c>
      <c r="F332" s="67">
        <v>1</v>
      </c>
      <c r="G332" s="67" t="str">
        <f t="shared" ref="G332:G404" si="49">IF(E332="no", G331, IF(F332=F331, G331+1, 1))</f>
        <v>0</v>
      </c>
      <c r="H332" s="12" t="s">
        <v>1056</v>
      </c>
      <c r="I332" s="26"/>
      <c r="J332" s="26"/>
      <c r="K332" s="26"/>
      <c r="L332" s="26" t="s">
        <v>1057</v>
      </c>
      <c r="M332" s="26"/>
      <c r="N332" s="26"/>
      <c r="O332" s="26"/>
      <c r="P332" s="26"/>
      <c r="Q332" s="26"/>
      <c r="R332" s="26" t="str">
        <f t="shared" si="47"/>
        <v>Tablet</v>
      </c>
      <c r="S332" s="26" t="s">
        <v>1058</v>
      </c>
      <c r="T332" s="26"/>
      <c r="U332" s="26"/>
      <c r="V332" s="29"/>
      <c r="W332" s="29"/>
      <c r="X332" s="29"/>
      <c r="Y332" s="29"/>
      <c r="Z332" s="29"/>
    </row>
    <row r="333" spans="1:26" ht="15.75" hidden="1" outlineLevel="1" x14ac:dyDescent="0.2">
      <c r="A333" s="8"/>
      <c r="B333" s="29"/>
      <c r="C333" s="125" t="s">
        <v>144</v>
      </c>
      <c r="D333" s="26" t="s">
        <v>1059</v>
      </c>
      <c r="E333" s="67" t="s">
        <v>91</v>
      </c>
      <c r="F333" s="67">
        <v>1</v>
      </c>
      <c r="G333" s="67" t="str">
        <f t="shared" si="49"/>
        <v>0</v>
      </c>
      <c r="H333" s="12" t="s">
        <v>1060</v>
      </c>
      <c r="I333" s="26"/>
      <c r="J333" s="26"/>
      <c r="K333" s="26"/>
      <c r="L333" s="26"/>
      <c r="M333" s="26"/>
      <c r="N333" s="26"/>
      <c r="O333" s="26"/>
      <c r="P333" s="26" t="s">
        <v>83</v>
      </c>
      <c r="Q333" s="26"/>
      <c r="R333" s="26" t="str">
        <f t="shared" si="47"/>
        <v>Enter all or part of the brand name</v>
      </c>
      <c r="S333" s="26" t="s">
        <v>1061</v>
      </c>
      <c r="T333" s="26"/>
      <c r="U333" s="26"/>
      <c r="V333" s="29"/>
      <c r="W333" s="29"/>
      <c r="X333" s="29"/>
      <c r="Y333" s="29"/>
      <c r="Z333" s="29"/>
    </row>
    <row r="334" spans="1:26" ht="15.75" hidden="1" outlineLevel="1" x14ac:dyDescent="0.2">
      <c r="A334" s="8"/>
      <c r="B334" s="29"/>
      <c r="C334" s="125" t="s">
        <v>1062</v>
      </c>
      <c r="D334" s="26" t="s">
        <v>1063</v>
      </c>
      <c r="E334" s="67" t="s">
        <v>91</v>
      </c>
      <c r="F334" s="67">
        <v>1</v>
      </c>
      <c r="G334" s="67" t="str">
        <f t="shared" si="49"/>
        <v>0</v>
      </c>
      <c r="H334" s="12" t="s">
        <v>1064</v>
      </c>
      <c r="I334" s="26"/>
      <c r="J334" s="26"/>
      <c r="K334" s="26"/>
      <c r="L334" s="26" t="s">
        <v>1065</v>
      </c>
      <c r="M334" s="26"/>
      <c r="N334" s="26" t="s">
        <v>1066</v>
      </c>
      <c r="O334" s="26"/>
      <c r="P334" s="26" t="s">
        <v>83</v>
      </c>
      <c r="Q334" s="26"/>
      <c r="R334" s="26" t="str">
        <f t="shared" si="47"/>
        <v>Select the product you want to audit</v>
      </c>
      <c r="S334" s="26" t="s">
        <v>1067</v>
      </c>
      <c r="T334" s="26"/>
      <c r="U334" s="26"/>
      <c r="V334" s="29"/>
      <c r="W334" s="29"/>
      <c r="X334" s="29"/>
      <c r="Y334" s="29"/>
      <c r="Z334" s="29"/>
    </row>
    <row r="335" spans="1:26" ht="15.75" hidden="1" outlineLevel="1" x14ac:dyDescent="0.2">
      <c r="A335" s="8"/>
      <c r="B335" s="29"/>
      <c r="C335" s="125" t="s">
        <v>109</v>
      </c>
      <c r="D335" s="26" t="s">
        <v>1068</v>
      </c>
      <c r="E335" s="67" t="s">
        <v>91</v>
      </c>
      <c r="F335" s="67">
        <v>1</v>
      </c>
      <c r="G335" s="67" t="str">
        <f t="shared" si="49"/>
        <v>0</v>
      </c>
      <c r="H335" s="12"/>
      <c r="I335" s="26"/>
      <c r="J335" s="26"/>
      <c r="K335" s="26"/>
      <c r="L335" s="26"/>
      <c r="M335" s="26" t="s">
        <v>1069</v>
      </c>
      <c r="N335" s="26"/>
      <c r="O335" s="26"/>
      <c r="P335" s="26"/>
      <c r="Q335" s="26"/>
      <c r="R335" s="26"/>
      <c r="S335" s="26"/>
      <c r="T335" s="26"/>
      <c r="U335" s="26"/>
      <c r="V335" s="29"/>
      <c r="W335" s="29"/>
      <c r="X335" s="29"/>
      <c r="Y335" s="29"/>
      <c r="Z335" s="29"/>
    </row>
    <row r="336" spans="1:26" ht="15.75" hidden="1" outlineLevel="1" x14ac:dyDescent="0.2">
      <c r="A336" s="8"/>
      <c r="B336" s="29"/>
      <c r="C336" s="125" t="s">
        <v>109</v>
      </c>
      <c r="D336" s="26" t="s">
        <v>1070</v>
      </c>
      <c r="E336" s="67" t="s">
        <v>91</v>
      </c>
      <c r="F336" s="67">
        <v>1</v>
      </c>
      <c r="G336" s="67" t="str">
        <f t="shared" si="49"/>
        <v>0</v>
      </c>
      <c r="H336" s="12"/>
      <c r="I336" s="26"/>
      <c r="J336" s="26"/>
      <c r="K336" s="26"/>
      <c r="L336" s="26"/>
      <c r="M336" s="26" t="s">
        <v>1071</v>
      </c>
      <c r="N336" s="26"/>
      <c r="O336" s="26"/>
      <c r="P336" s="26"/>
      <c r="Q336" s="26"/>
      <c r="R336" s="26"/>
      <c r="S336" s="26"/>
      <c r="T336" s="26"/>
      <c r="U336" s="26"/>
      <c r="V336" s="29"/>
      <c r="W336" s="29"/>
      <c r="X336" s="29"/>
      <c r="Y336" s="29"/>
      <c r="Z336" s="29"/>
    </row>
    <row r="337" spans="1:26" ht="15.75" hidden="1" outlineLevel="1" x14ac:dyDescent="0.2">
      <c r="A337" s="8"/>
      <c r="B337" s="29"/>
      <c r="C337" s="125" t="s">
        <v>109</v>
      </c>
      <c r="D337" s="26" t="s">
        <v>1072</v>
      </c>
      <c r="E337" s="67" t="s">
        <v>91</v>
      </c>
      <c r="F337" s="67">
        <v>1</v>
      </c>
      <c r="G337" s="67" t="str">
        <f t="shared" si="49"/>
        <v>0</v>
      </c>
      <c r="H337" s="12"/>
      <c r="I337" s="26"/>
      <c r="J337" s="26"/>
      <c r="K337" s="26"/>
      <c r="L337" s="26"/>
      <c r="M337" s="26" t="s">
        <v>1073</v>
      </c>
      <c r="N337" s="26"/>
      <c r="O337" s="26"/>
      <c r="P337" s="26"/>
      <c r="Q337" s="26"/>
      <c r="R337" s="26"/>
      <c r="S337" s="26"/>
      <c r="T337" s="26"/>
      <c r="U337" s="26"/>
      <c r="V337" s="29"/>
      <c r="W337" s="29"/>
      <c r="X337" s="29"/>
      <c r="Y337" s="29"/>
      <c r="Z337" s="29"/>
    </row>
    <row r="338" spans="1:26" ht="15.75" hidden="1" outlineLevel="1" x14ac:dyDescent="0.2">
      <c r="A338" s="8"/>
      <c r="B338" s="29"/>
      <c r="C338" s="125" t="s">
        <v>109</v>
      </c>
      <c r="D338" s="26" t="s">
        <v>1074</v>
      </c>
      <c r="E338" s="67" t="s">
        <v>91</v>
      </c>
      <c r="F338" s="67">
        <v>1</v>
      </c>
      <c r="G338" s="67" t="str">
        <f t="shared" si="49"/>
        <v>0</v>
      </c>
      <c r="H338" s="12"/>
      <c r="I338" s="26"/>
      <c r="J338" s="26"/>
      <c r="K338" s="26"/>
      <c r="L338" s="26"/>
      <c r="M338" s="26" t="s">
        <v>1075</v>
      </c>
      <c r="N338" s="26"/>
      <c r="O338" s="26"/>
      <c r="P338" s="26"/>
      <c r="Q338" s="26"/>
      <c r="R338" s="26"/>
      <c r="S338" s="26"/>
      <c r="T338" s="26"/>
      <c r="U338" s="26"/>
      <c r="V338" s="29"/>
      <c r="W338" s="29"/>
      <c r="X338" s="29"/>
      <c r="Y338" s="29"/>
      <c r="Z338" s="29"/>
    </row>
    <row r="339" spans="1:26" ht="15.75" hidden="1" outlineLevel="1" x14ac:dyDescent="0.2">
      <c r="A339" s="8"/>
      <c r="B339" s="29"/>
      <c r="C339" s="125" t="s">
        <v>109</v>
      </c>
      <c r="D339" s="26" t="s">
        <v>1076</v>
      </c>
      <c r="E339" s="67" t="s">
        <v>91</v>
      </c>
      <c r="F339" s="67">
        <v>1</v>
      </c>
      <c r="G339" s="67" t="str">
        <f t="shared" si="49"/>
        <v>0</v>
      </c>
      <c r="H339" s="12"/>
      <c r="I339" s="26"/>
      <c r="J339" s="26"/>
      <c r="K339" s="26"/>
      <c r="L339" s="26"/>
      <c r="M339" s="26" t="s">
        <v>1077</v>
      </c>
      <c r="N339" s="26"/>
      <c r="O339" s="26"/>
      <c r="P339" s="26"/>
      <c r="Q339" s="26"/>
      <c r="R339" s="26"/>
      <c r="S339" s="26"/>
      <c r="T339" s="26"/>
      <c r="U339" s="26"/>
      <c r="V339" s="29"/>
      <c r="W339" s="29"/>
      <c r="X339" s="29"/>
      <c r="Y339" s="29"/>
      <c r="Z339" s="29"/>
    </row>
    <row r="340" spans="1:26" ht="15.75" hidden="1" outlineLevel="1" x14ac:dyDescent="0.2">
      <c r="A340" s="8"/>
      <c r="B340" s="29"/>
      <c r="C340" s="125" t="s">
        <v>109</v>
      </c>
      <c r="D340" s="26" t="s">
        <v>1078</v>
      </c>
      <c r="E340" s="67" t="s">
        <v>91</v>
      </c>
      <c r="F340" s="67">
        <v>1</v>
      </c>
      <c r="G340" s="67" t="str">
        <f t="shared" si="49"/>
        <v>0</v>
      </c>
      <c r="H340" s="12"/>
      <c r="I340" s="26"/>
      <c r="J340" s="26"/>
      <c r="K340" s="26"/>
      <c r="L340" s="26"/>
      <c r="M340" s="26" t="s">
        <v>1079</v>
      </c>
      <c r="N340" s="26"/>
      <c r="O340" s="26"/>
      <c r="P340" s="26"/>
      <c r="Q340" s="26"/>
      <c r="R340" s="26"/>
      <c r="S340" s="26"/>
      <c r="T340" s="26"/>
      <c r="U340" s="26"/>
      <c r="V340" s="29"/>
      <c r="W340" s="29"/>
      <c r="X340" s="29"/>
      <c r="Y340" s="29"/>
      <c r="Z340" s="29"/>
    </row>
    <row r="341" spans="1:26" ht="15.75" hidden="1" outlineLevel="1" x14ac:dyDescent="0.2">
      <c r="A341" s="8"/>
      <c r="B341" s="29"/>
      <c r="C341" s="125" t="s">
        <v>109</v>
      </c>
      <c r="D341" s="26" t="s">
        <v>1080</v>
      </c>
      <c r="E341" s="67" t="s">
        <v>91</v>
      </c>
      <c r="F341" s="67">
        <v>1</v>
      </c>
      <c r="G341" s="67" t="str">
        <f t="shared" si="49"/>
        <v>0</v>
      </c>
      <c r="H341" s="12"/>
      <c r="I341" s="26"/>
      <c r="J341" s="26"/>
      <c r="K341" s="26"/>
      <c r="L341" s="26"/>
      <c r="M341" s="26" t="s">
        <v>1081</v>
      </c>
      <c r="N341" s="26"/>
      <c r="O341" s="26"/>
      <c r="P341" s="26"/>
      <c r="Q341" s="26"/>
      <c r="R341" s="26"/>
      <c r="S341" s="26"/>
      <c r="T341" s="26"/>
      <c r="U341" s="26"/>
      <c r="V341" s="29"/>
      <c r="W341" s="29"/>
      <c r="X341" s="29"/>
      <c r="Y341" s="29"/>
      <c r="Z341" s="29"/>
    </row>
    <row r="342" spans="1:26" ht="15.75" hidden="1" outlineLevel="1" x14ac:dyDescent="0.2">
      <c r="A342" s="8"/>
      <c r="B342" s="29"/>
      <c r="C342" s="125" t="s">
        <v>109</v>
      </c>
      <c r="D342" s="26" t="s">
        <v>1082</v>
      </c>
      <c r="E342" s="67" t="s">
        <v>91</v>
      </c>
      <c r="F342" s="67">
        <v>1</v>
      </c>
      <c r="G342" s="67" t="str">
        <f t="shared" si="49"/>
        <v>0</v>
      </c>
      <c r="H342" s="12"/>
      <c r="I342" s="26"/>
      <c r="J342" s="26"/>
      <c r="K342" s="26"/>
      <c r="L342" s="26"/>
      <c r="M342" s="26" t="s">
        <v>1083</v>
      </c>
      <c r="N342" s="26"/>
      <c r="O342" s="26"/>
      <c r="P342" s="26"/>
      <c r="Q342" s="26"/>
      <c r="R342" s="26"/>
      <c r="S342" s="26"/>
      <c r="T342" s="26"/>
      <c r="U342" s="26"/>
      <c r="V342" s="29"/>
      <c r="W342" s="29"/>
      <c r="X342" s="29"/>
      <c r="Y342" s="29"/>
      <c r="Z342" s="29"/>
    </row>
    <row r="343" spans="1:26" ht="15.75" hidden="1" outlineLevel="1" x14ac:dyDescent="0.2">
      <c r="A343" s="8"/>
      <c r="B343" s="29"/>
      <c r="C343" s="125" t="s">
        <v>109</v>
      </c>
      <c r="D343" s="26" t="s">
        <v>1084</v>
      </c>
      <c r="E343" s="67" t="s">
        <v>91</v>
      </c>
      <c r="F343" s="67">
        <v>1</v>
      </c>
      <c r="G343" s="67" t="str">
        <f t="shared" si="49"/>
        <v>0</v>
      </c>
      <c r="H343" s="12"/>
      <c r="I343" s="26"/>
      <c r="J343" s="26"/>
      <c r="K343" s="26"/>
      <c r="L343" s="26"/>
      <c r="M343" s="26" t="s">
        <v>1085</v>
      </c>
      <c r="N343" s="26"/>
      <c r="O343" s="26"/>
      <c r="P343" s="26"/>
      <c r="Q343" s="26"/>
      <c r="R343" s="26"/>
      <c r="S343" s="26"/>
      <c r="T343" s="26"/>
      <c r="U343" s="26"/>
      <c r="V343" s="29"/>
      <c r="W343" s="29"/>
      <c r="X343" s="29"/>
      <c r="Y343" s="29"/>
      <c r="Z343" s="29"/>
    </row>
    <row r="344" spans="1:26" ht="15.75" hidden="1" outlineLevel="1" x14ac:dyDescent="0.2">
      <c r="A344" s="8"/>
      <c r="B344" s="29"/>
      <c r="C344" s="125" t="s">
        <v>109</v>
      </c>
      <c r="D344" s="26" t="s">
        <v>1086</v>
      </c>
      <c r="E344" s="67" t="s">
        <v>91</v>
      </c>
      <c r="F344" s="67">
        <v>1</v>
      </c>
      <c r="G344" s="67" t="str">
        <f t="shared" si="49"/>
        <v>0</v>
      </c>
      <c r="H344" s="12"/>
      <c r="I344" s="26"/>
      <c r="J344" s="26"/>
      <c r="K344" s="26"/>
      <c r="L344" s="26"/>
      <c r="M344" s="26" t="s">
        <v>1087</v>
      </c>
      <c r="N344" s="26"/>
      <c r="O344" s="26"/>
      <c r="P344" s="26"/>
      <c r="Q344" s="26"/>
      <c r="R344" s="26"/>
      <c r="S344" s="26"/>
      <c r="T344" s="26"/>
      <c r="U344" s="26"/>
      <c r="V344" s="29"/>
      <c r="W344" s="29"/>
      <c r="X344" s="29"/>
      <c r="Y344" s="29"/>
      <c r="Z344" s="29"/>
    </row>
    <row r="345" spans="1:26" ht="15.75" hidden="1" outlineLevel="1" x14ac:dyDescent="0.2">
      <c r="A345" s="8"/>
      <c r="B345" s="29"/>
      <c r="C345" s="125" t="s">
        <v>109</v>
      </c>
      <c r="D345" s="26" t="s">
        <v>1088</v>
      </c>
      <c r="E345" s="67" t="s">
        <v>91</v>
      </c>
      <c r="F345" s="67">
        <v>1</v>
      </c>
      <c r="G345" s="67" t="str">
        <f t="shared" si="49"/>
        <v>0</v>
      </c>
      <c r="H345" s="12"/>
      <c r="I345" s="26"/>
      <c r="J345" s="26"/>
      <c r="K345" s="26"/>
      <c r="L345" s="26"/>
      <c r="M345" s="26" t="s">
        <v>1089</v>
      </c>
      <c r="N345" s="26"/>
      <c r="O345" s="26"/>
      <c r="P345" s="26"/>
      <c r="Q345" s="26"/>
      <c r="R345" s="26"/>
      <c r="S345" s="26"/>
      <c r="T345" s="26"/>
      <c r="U345" s="26"/>
      <c r="V345" s="29"/>
      <c r="W345" s="29"/>
      <c r="X345" s="29"/>
      <c r="Y345" s="29"/>
      <c r="Z345" s="29"/>
    </row>
    <row r="346" spans="1:26" ht="15.75" hidden="1" outlineLevel="1" x14ac:dyDescent="0.2">
      <c r="A346" s="8"/>
      <c r="B346" s="29"/>
      <c r="C346" s="125" t="s">
        <v>109</v>
      </c>
      <c r="D346" s="26" t="s">
        <v>1090</v>
      </c>
      <c r="E346" s="67" t="s">
        <v>91</v>
      </c>
      <c r="F346" s="67">
        <v>1</v>
      </c>
      <c r="G346" s="67" t="str">
        <f t="shared" si="49"/>
        <v>0</v>
      </c>
      <c r="H346" s="12"/>
      <c r="I346" s="26"/>
      <c r="J346" s="26"/>
      <c r="K346" s="26"/>
      <c r="L346" s="26"/>
      <c r="M346" s="26" t="s">
        <v>1091</v>
      </c>
      <c r="N346" s="26"/>
      <c r="O346" s="26"/>
      <c r="P346" s="26"/>
      <c r="Q346" s="26"/>
      <c r="R346" s="26"/>
      <c r="S346" s="26"/>
      <c r="T346" s="26"/>
      <c r="U346" s="26"/>
      <c r="V346" s="29"/>
      <c r="W346" s="29"/>
      <c r="X346" s="29"/>
      <c r="Y346" s="29"/>
      <c r="Z346" s="29"/>
    </row>
    <row r="347" spans="1:26" ht="15.75" hidden="1" outlineLevel="1" x14ac:dyDescent="0.2">
      <c r="A347" s="8"/>
      <c r="B347" s="29"/>
      <c r="C347" s="125" t="s">
        <v>109</v>
      </c>
      <c r="D347" s="26" t="s">
        <v>1092</v>
      </c>
      <c r="E347" s="67" t="s">
        <v>91</v>
      </c>
      <c r="F347" s="67">
        <v>1</v>
      </c>
      <c r="G347" s="67" t="str">
        <f t="shared" si="49"/>
        <v>0</v>
      </c>
      <c r="H347" s="12"/>
      <c r="I347" s="26"/>
      <c r="J347" s="26"/>
      <c r="K347" s="26"/>
      <c r="L347" s="26"/>
      <c r="M347" s="26" t="s">
        <v>1093</v>
      </c>
      <c r="N347" s="26"/>
      <c r="O347" s="26"/>
      <c r="P347" s="26"/>
      <c r="Q347" s="26"/>
      <c r="R347" s="26"/>
      <c r="S347" s="26"/>
      <c r="T347" s="26"/>
      <c r="U347" s="26"/>
      <c r="V347" s="29"/>
      <c r="W347" s="29"/>
      <c r="X347" s="29"/>
      <c r="Y347" s="29"/>
      <c r="Z347" s="29"/>
    </row>
    <row r="348" spans="1:26" ht="15.75" hidden="1" outlineLevel="1" x14ac:dyDescent="0.2">
      <c r="A348" s="8"/>
      <c r="B348" s="29"/>
      <c r="C348" s="125" t="s">
        <v>109</v>
      </c>
      <c r="D348" s="26" t="s">
        <v>1094</v>
      </c>
      <c r="E348" s="67" t="s">
        <v>91</v>
      </c>
      <c r="F348" s="67">
        <v>1</v>
      </c>
      <c r="G348" s="67" t="str">
        <f t="shared" si="49"/>
        <v>0</v>
      </c>
      <c r="H348" s="12"/>
      <c r="I348" s="26"/>
      <c r="J348" s="26"/>
      <c r="K348" s="26"/>
      <c r="L348" s="26"/>
      <c r="M348" s="26" t="s">
        <v>1095</v>
      </c>
      <c r="N348" s="26"/>
      <c r="O348" s="26"/>
      <c r="P348" s="26"/>
      <c r="Q348" s="26"/>
      <c r="R348" s="26"/>
      <c r="S348" s="26"/>
      <c r="T348" s="26"/>
      <c r="U348" s="26"/>
      <c r="V348" s="29"/>
      <c r="W348" s="29"/>
      <c r="X348" s="29"/>
      <c r="Y348" s="29"/>
      <c r="Z348" s="29"/>
    </row>
    <row r="349" spans="1:26" ht="15.75" hidden="1" outlineLevel="1" x14ac:dyDescent="0.2">
      <c r="A349" s="8"/>
      <c r="B349" s="29"/>
      <c r="C349" s="125" t="s">
        <v>109</v>
      </c>
      <c r="D349" s="26" t="s">
        <v>1096</v>
      </c>
      <c r="E349" s="67" t="s">
        <v>91</v>
      </c>
      <c r="F349" s="67">
        <v>1</v>
      </c>
      <c r="G349" s="67" t="str">
        <f t="shared" si="49"/>
        <v>0</v>
      </c>
      <c r="H349" s="12"/>
      <c r="I349" s="26"/>
      <c r="J349" s="26"/>
      <c r="K349" s="26"/>
      <c r="L349" s="26"/>
      <c r="M349" s="26" t="s">
        <v>1097</v>
      </c>
      <c r="N349" s="26"/>
      <c r="O349" s="26"/>
      <c r="P349" s="26"/>
      <c r="Q349" s="26"/>
      <c r="R349" s="26"/>
      <c r="S349" s="26"/>
      <c r="T349" s="26"/>
      <c r="U349" s="26"/>
      <c r="V349" s="29"/>
      <c r="W349" s="29"/>
      <c r="X349" s="29"/>
      <c r="Y349" s="29"/>
      <c r="Z349" s="29"/>
    </row>
    <row r="350" spans="1:26" ht="15.75" hidden="1" outlineLevel="1" x14ac:dyDescent="0.2">
      <c r="A350" s="8"/>
      <c r="B350" s="29"/>
      <c r="C350" s="125" t="s">
        <v>109</v>
      </c>
      <c r="D350" s="26" t="s">
        <v>1098</v>
      </c>
      <c r="E350" s="67" t="s">
        <v>91</v>
      </c>
      <c r="F350" s="67">
        <v>1</v>
      </c>
      <c r="G350" s="67" t="str">
        <f t="shared" si="49"/>
        <v>0</v>
      </c>
      <c r="H350" s="12"/>
      <c r="I350" s="26"/>
      <c r="J350" s="26"/>
      <c r="K350" s="26"/>
      <c r="L350" s="26"/>
      <c r="M350" s="26" t="s">
        <v>1099</v>
      </c>
      <c r="N350" s="26"/>
      <c r="O350" s="26"/>
      <c r="P350" s="26"/>
      <c r="Q350" s="26"/>
      <c r="R350" s="26"/>
      <c r="S350" s="26"/>
      <c r="T350" s="26"/>
      <c r="U350" s="26"/>
      <c r="V350" s="29"/>
      <c r="W350" s="29"/>
      <c r="X350" s="29"/>
      <c r="Y350" s="29"/>
      <c r="Z350" s="29"/>
    </row>
    <row r="351" spans="1:26" ht="15.75" hidden="1" outlineLevel="1" x14ac:dyDescent="0.2">
      <c r="A351" s="8"/>
      <c r="B351" s="29"/>
      <c r="C351" s="125" t="s">
        <v>109</v>
      </c>
      <c r="D351" s="26" t="s">
        <v>1100</v>
      </c>
      <c r="E351" s="67" t="s">
        <v>91</v>
      </c>
      <c r="F351" s="67">
        <v>1</v>
      </c>
      <c r="G351" s="67" t="str">
        <f t="shared" si="49"/>
        <v>0</v>
      </c>
      <c r="H351" s="12"/>
      <c r="I351" s="26"/>
      <c r="J351" s="26"/>
      <c r="K351" s="26"/>
      <c r="L351" s="26"/>
      <c r="M351" s="26" t="s">
        <v>1101</v>
      </c>
      <c r="N351" s="26"/>
      <c r="O351" s="26"/>
      <c r="P351" s="26"/>
      <c r="Q351" s="26"/>
      <c r="R351" s="26"/>
      <c r="S351" s="26"/>
      <c r="T351" s="26"/>
      <c r="U351" s="26"/>
      <c r="V351" s="29"/>
      <c r="W351" s="29"/>
      <c r="X351" s="29"/>
      <c r="Y351" s="29"/>
      <c r="Z351" s="29"/>
    </row>
    <row r="352" spans="1:26" ht="15.75" hidden="1" outlineLevel="1" x14ac:dyDescent="0.2">
      <c r="A352" s="8"/>
      <c r="B352" s="29"/>
      <c r="C352" s="125" t="s">
        <v>109</v>
      </c>
      <c r="D352" s="26" t="s">
        <v>1102</v>
      </c>
      <c r="E352" s="67" t="s">
        <v>91</v>
      </c>
      <c r="F352" s="67">
        <v>1</v>
      </c>
      <c r="G352" s="67" t="str">
        <f t="shared" si="49"/>
        <v>0</v>
      </c>
      <c r="H352" s="12"/>
      <c r="I352" s="26"/>
      <c r="J352" s="26"/>
      <c r="K352" s="26"/>
      <c r="L352" s="26"/>
      <c r="M352" s="26" t="s">
        <v>1103</v>
      </c>
      <c r="N352" s="26"/>
      <c r="O352" s="26"/>
      <c r="P352" s="26"/>
      <c r="Q352" s="26"/>
      <c r="R352" s="26"/>
      <c r="S352" s="26"/>
      <c r="T352" s="26"/>
      <c r="U352" s="26"/>
      <c r="V352" s="29"/>
      <c r="W352" s="29"/>
      <c r="X352" s="29"/>
      <c r="Y352" s="29"/>
      <c r="Z352" s="29"/>
    </row>
    <row r="353" spans="1:26" ht="15.75" hidden="1" outlineLevel="1" x14ac:dyDescent="0.2">
      <c r="A353" s="8"/>
      <c r="B353" s="29"/>
      <c r="C353" s="125" t="s">
        <v>109</v>
      </c>
      <c r="D353" s="26" t="s">
        <v>1104</v>
      </c>
      <c r="E353" s="67" t="s">
        <v>91</v>
      </c>
      <c r="F353" s="67">
        <v>1</v>
      </c>
      <c r="G353" s="67" t="str">
        <f t="shared" si="49"/>
        <v>0</v>
      </c>
      <c r="H353" s="12"/>
      <c r="I353" s="26"/>
      <c r="J353" s="26"/>
      <c r="K353" s="26"/>
      <c r="L353" s="26"/>
      <c r="M353" s="26" t="s">
        <v>1105</v>
      </c>
      <c r="N353" s="26"/>
      <c r="O353" s="26"/>
      <c r="P353" s="26"/>
      <c r="Q353" s="26"/>
      <c r="R353" s="26"/>
      <c r="S353" s="26"/>
      <c r="T353" s="26"/>
      <c r="U353" s="26"/>
      <c r="V353" s="29"/>
      <c r="W353" s="29"/>
      <c r="X353" s="29"/>
      <c r="Y353" s="29"/>
      <c r="Z353" s="29"/>
    </row>
    <row r="354" spans="1:26" ht="15.75" hidden="1" outlineLevel="1" x14ac:dyDescent="0.2">
      <c r="A354" s="8"/>
      <c r="B354" s="29"/>
      <c r="C354" s="125" t="s">
        <v>109</v>
      </c>
      <c r="D354" s="26" t="s">
        <v>1106</v>
      </c>
      <c r="E354" s="67" t="s">
        <v>91</v>
      </c>
      <c r="F354" s="67">
        <v>1</v>
      </c>
      <c r="G354" s="67" t="str">
        <f t="shared" si="49"/>
        <v>0</v>
      </c>
      <c r="H354" s="12"/>
      <c r="I354" s="26"/>
      <c r="J354" s="26"/>
      <c r="K354" s="26"/>
      <c r="L354" s="26"/>
      <c r="M354" s="26" t="s">
        <v>1107</v>
      </c>
      <c r="N354" s="26"/>
      <c r="O354" s="26"/>
      <c r="P354" s="26"/>
      <c r="Q354" s="26"/>
      <c r="R354" s="26"/>
      <c r="S354" s="26"/>
      <c r="T354" s="26"/>
      <c r="U354" s="26"/>
      <c r="V354" s="29"/>
      <c r="W354" s="29"/>
      <c r="X354" s="29"/>
      <c r="Y354" s="29"/>
      <c r="Z354" s="29"/>
    </row>
    <row r="355" spans="1:26" ht="15.75" hidden="1" outlineLevel="1" x14ac:dyDescent="0.2">
      <c r="A355" s="8"/>
      <c r="B355" s="29"/>
      <c r="C355" s="125" t="s">
        <v>174</v>
      </c>
      <c r="D355" s="26" t="s">
        <v>1055</v>
      </c>
      <c r="E355" s="67" t="s">
        <v>91</v>
      </c>
      <c r="F355" s="67">
        <v>1</v>
      </c>
      <c r="G355" s="67" t="str">
        <f t="shared" si="49"/>
        <v>0</v>
      </c>
      <c r="H355" s="12"/>
      <c r="I355" s="26"/>
      <c r="J355" s="26"/>
      <c r="K355" s="26"/>
      <c r="L355" s="26"/>
      <c r="M355" s="26"/>
      <c r="N355" s="26"/>
      <c r="O355" s="26"/>
      <c r="P355" s="26"/>
      <c r="Q355" s="26"/>
      <c r="R355" s="26"/>
      <c r="S355" s="26"/>
      <c r="T355" s="26"/>
      <c r="U355" s="26"/>
      <c r="V355" s="29"/>
      <c r="W355" s="29"/>
      <c r="X355" s="29"/>
      <c r="Y355" s="29"/>
      <c r="Z355" s="29"/>
    </row>
    <row r="356" spans="1:26" ht="15.75" outlineLevel="1" x14ac:dyDescent="0.2">
      <c r="A356" s="8"/>
      <c r="B356" s="29"/>
      <c r="C356" s="125" t="s">
        <v>89</v>
      </c>
      <c r="D356" s="26" t="s">
        <v>1108</v>
      </c>
      <c r="E356" s="67" t="s">
        <v>91</v>
      </c>
      <c r="F356" s="67">
        <v>1</v>
      </c>
      <c r="G356" s="67" t="str">
        <f t="shared" si="49"/>
        <v>0</v>
      </c>
      <c r="H356" s="12" t="s">
        <v>1109</v>
      </c>
      <c r="I356" s="26"/>
      <c r="J356" s="26"/>
      <c r="K356" s="26"/>
      <c r="L356" s="26" t="s">
        <v>1110</v>
      </c>
      <c r="M356" s="26"/>
      <c r="N356" s="26"/>
      <c r="O356" s="26"/>
      <c r="P356" s="26"/>
      <c r="Q356" s="26"/>
      <c r="R356" s="26" t="str">
        <f t="shared" ref="R356:R358" si="50">IF(E356="no", H356, CONCATENATE(G356,". &lt;br&gt;",H356))</f>
        <v>Non-Tablet</v>
      </c>
      <c r="S356" s="26" t="s">
        <v>1111</v>
      </c>
      <c r="T356" s="26"/>
      <c r="U356" s="26"/>
      <c r="V356" s="29"/>
      <c r="W356" s="29"/>
      <c r="X356" s="29"/>
      <c r="Y356" s="29"/>
      <c r="Z356" s="29"/>
    </row>
    <row r="357" spans="1:26" ht="15.75" hidden="1" outlineLevel="1" x14ac:dyDescent="0.2">
      <c r="A357" s="8"/>
      <c r="B357" s="29"/>
      <c r="C357" s="125" t="s">
        <v>144</v>
      </c>
      <c r="D357" s="26" t="s">
        <v>1112</v>
      </c>
      <c r="E357" s="67" t="s">
        <v>91</v>
      </c>
      <c r="F357" s="67">
        <v>1</v>
      </c>
      <c r="G357" s="67" t="str">
        <f t="shared" si="49"/>
        <v>0</v>
      </c>
      <c r="H357" s="12" t="s">
        <v>1060</v>
      </c>
      <c r="I357" s="26"/>
      <c r="J357" s="26"/>
      <c r="K357" s="26"/>
      <c r="L357" s="26"/>
      <c r="M357" s="26"/>
      <c r="N357" s="26"/>
      <c r="O357" s="26"/>
      <c r="P357" s="26" t="s">
        <v>83</v>
      </c>
      <c r="Q357" s="26"/>
      <c r="R357" s="26" t="str">
        <f t="shared" si="50"/>
        <v>Enter all or part of the brand name</v>
      </c>
      <c r="S357" s="26" t="s">
        <v>1061</v>
      </c>
      <c r="T357" s="26"/>
      <c r="U357" s="26"/>
      <c r="V357" s="29"/>
      <c r="W357" s="29"/>
      <c r="X357" s="29"/>
      <c r="Y357" s="29"/>
      <c r="Z357" s="29"/>
    </row>
    <row r="358" spans="1:26" ht="15.75" hidden="1" outlineLevel="1" x14ac:dyDescent="0.2">
      <c r="A358" s="8"/>
      <c r="B358" s="29"/>
      <c r="C358" s="125" t="s">
        <v>1062</v>
      </c>
      <c r="D358" s="26" t="s">
        <v>1113</v>
      </c>
      <c r="E358" s="67" t="s">
        <v>91</v>
      </c>
      <c r="F358" s="67">
        <v>1</v>
      </c>
      <c r="G358" s="67" t="str">
        <f t="shared" si="49"/>
        <v>0</v>
      </c>
      <c r="H358" s="12" t="s">
        <v>1064</v>
      </c>
      <c r="I358" s="26"/>
      <c r="J358" s="26"/>
      <c r="K358" s="26"/>
      <c r="L358" s="26" t="s">
        <v>1114</v>
      </c>
      <c r="M358" s="26"/>
      <c r="N358" s="26" t="s">
        <v>1115</v>
      </c>
      <c r="O358" s="26"/>
      <c r="P358" s="26" t="s">
        <v>83</v>
      </c>
      <c r="Q358" s="26"/>
      <c r="R358" s="26" t="str">
        <f t="shared" si="50"/>
        <v>Select the product you want to audit</v>
      </c>
      <c r="S358" s="26" t="s">
        <v>1067</v>
      </c>
      <c r="T358" s="26"/>
      <c r="U358" s="26"/>
      <c r="V358" s="29"/>
      <c r="W358" s="29"/>
      <c r="X358" s="29"/>
      <c r="Y358" s="29"/>
      <c r="Z358" s="29"/>
    </row>
    <row r="359" spans="1:26" ht="15.75" hidden="1" outlineLevel="1" x14ac:dyDescent="0.2">
      <c r="A359" s="8"/>
      <c r="B359" s="29"/>
      <c r="C359" s="125" t="s">
        <v>109</v>
      </c>
      <c r="D359" s="26" t="s">
        <v>1116</v>
      </c>
      <c r="E359" s="67" t="s">
        <v>91</v>
      </c>
      <c r="F359" s="67">
        <v>1</v>
      </c>
      <c r="G359" s="67" t="str">
        <f t="shared" si="49"/>
        <v>0</v>
      </c>
      <c r="H359" s="12"/>
      <c r="I359" s="26"/>
      <c r="J359" s="26"/>
      <c r="K359" s="26"/>
      <c r="L359" s="26"/>
      <c r="M359" s="26" t="s">
        <v>1117</v>
      </c>
      <c r="N359" s="26"/>
      <c r="O359" s="26"/>
      <c r="P359" s="26"/>
      <c r="Q359" s="26"/>
      <c r="R359" s="26"/>
      <c r="S359" s="26"/>
      <c r="T359" s="26"/>
      <c r="U359" s="26"/>
      <c r="V359" s="29"/>
      <c r="W359" s="29"/>
      <c r="X359" s="29"/>
      <c r="Y359" s="29"/>
      <c r="Z359" s="29"/>
    </row>
    <row r="360" spans="1:26" ht="15.75" hidden="1" outlineLevel="1" x14ac:dyDescent="0.2">
      <c r="A360" s="8"/>
      <c r="B360" s="29"/>
      <c r="C360" s="125" t="s">
        <v>109</v>
      </c>
      <c r="D360" s="26" t="s">
        <v>1118</v>
      </c>
      <c r="E360" s="67" t="s">
        <v>91</v>
      </c>
      <c r="F360" s="67">
        <v>1</v>
      </c>
      <c r="G360" s="67" t="str">
        <f t="shared" si="49"/>
        <v>0</v>
      </c>
      <c r="H360" s="12"/>
      <c r="I360" s="26"/>
      <c r="J360" s="26"/>
      <c r="K360" s="26"/>
      <c r="L360" s="26"/>
      <c r="M360" s="26" t="s">
        <v>1119</v>
      </c>
      <c r="N360" s="26"/>
      <c r="O360" s="26"/>
      <c r="P360" s="26"/>
      <c r="Q360" s="26"/>
      <c r="R360" s="26"/>
      <c r="S360" s="26"/>
      <c r="T360" s="26"/>
      <c r="U360" s="26"/>
      <c r="V360" s="29"/>
      <c r="W360" s="29"/>
      <c r="X360" s="29"/>
      <c r="Y360" s="29"/>
      <c r="Z360" s="29"/>
    </row>
    <row r="361" spans="1:26" ht="15.75" hidden="1" outlineLevel="1" x14ac:dyDescent="0.2">
      <c r="A361" s="8"/>
      <c r="B361" s="29"/>
      <c r="C361" s="125" t="s">
        <v>109</v>
      </c>
      <c r="D361" s="26" t="s">
        <v>1120</v>
      </c>
      <c r="E361" s="67" t="s">
        <v>91</v>
      </c>
      <c r="F361" s="67">
        <v>1</v>
      </c>
      <c r="G361" s="67" t="str">
        <f t="shared" si="49"/>
        <v>0</v>
      </c>
      <c r="H361" s="12"/>
      <c r="I361" s="26"/>
      <c r="J361" s="26"/>
      <c r="K361" s="26"/>
      <c r="L361" s="26"/>
      <c r="M361" s="26" t="s">
        <v>1121</v>
      </c>
      <c r="N361" s="26"/>
      <c r="O361" s="26"/>
      <c r="P361" s="26"/>
      <c r="Q361" s="26"/>
      <c r="R361" s="26"/>
      <c r="S361" s="26"/>
      <c r="T361" s="26"/>
      <c r="U361" s="26"/>
      <c r="V361" s="29"/>
      <c r="W361" s="29"/>
      <c r="X361" s="29"/>
      <c r="Y361" s="29"/>
      <c r="Z361" s="29"/>
    </row>
    <row r="362" spans="1:26" ht="15.75" hidden="1" outlineLevel="1" x14ac:dyDescent="0.2">
      <c r="A362" s="8"/>
      <c r="B362" s="29"/>
      <c r="C362" s="125" t="s">
        <v>109</v>
      </c>
      <c r="D362" s="26" t="s">
        <v>1122</v>
      </c>
      <c r="E362" s="67" t="s">
        <v>91</v>
      </c>
      <c r="F362" s="67">
        <v>1</v>
      </c>
      <c r="G362" s="67" t="str">
        <f t="shared" si="49"/>
        <v>0</v>
      </c>
      <c r="H362" s="12"/>
      <c r="I362" s="26"/>
      <c r="J362" s="26"/>
      <c r="K362" s="26"/>
      <c r="L362" s="26"/>
      <c r="M362" s="26" t="s">
        <v>1123</v>
      </c>
      <c r="N362" s="26"/>
      <c r="O362" s="26"/>
      <c r="P362" s="26"/>
      <c r="Q362" s="26"/>
      <c r="R362" s="26"/>
      <c r="S362" s="26"/>
      <c r="T362" s="26"/>
      <c r="U362" s="26"/>
      <c r="V362" s="29"/>
      <c r="W362" s="29"/>
      <c r="X362" s="29"/>
      <c r="Y362" s="29"/>
      <c r="Z362" s="29"/>
    </row>
    <row r="363" spans="1:26" ht="15.75" hidden="1" outlineLevel="1" x14ac:dyDescent="0.2">
      <c r="A363" s="8"/>
      <c r="B363" s="29"/>
      <c r="C363" s="125" t="s">
        <v>109</v>
      </c>
      <c r="D363" s="26" t="s">
        <v>1124</v>
      </c>
      <c r="E363" s="67" t="s">
        <v>91</v>
      </c>
      <c r="F363" s="67">
        <v>1</v>
      </c>
      <c r="G363" s="67" t="str">
        <f t="shared" si="49"/>
        <v>0</v>
      </c>
      <c r="H363" s="12"/>
      <c r="I363" s="26"/>
      <c r="J363" s="26"/>
      <c r="K363" s="26"/>
      <c r="L363" s="26"/>
      <c r="M363" s="26" t="s">
        <v>1125</v>
      </c>
      <c r="N363" s="26"/>
      <c r="O363" s="26"/>
      <c r="P363" s="26"/>
      <c r="Q363" s="26"/>
      <c r="R363" s="26"/>
      <c r="S363" s="26"/>
      <c r="T363" s="26"/>
      <c r="U363" s="26"/>
      <c r="V363" s="29"/>
      <c r="W363" s="29"/>
      <c r="X363" s="29"/>
      <c r="Y363" s="29"/>
      <c r="Z363" s="29"/>
    </row>
    <row r="364" spans="1:26" ht="15.75" hidden="1" outlineLevel="1" x14ac:dyDescent="0.2">
      <c r="A364" s="8"/>
      <c r="B364" s="29"/>
      <c r="C364" s="125" t="s">
        <v>109</v>
      </c>
      <c r="D364" s="26" t="s">
        <v>1126</v>
      </c>
      <c r="E364" s="67" t="s">
        <v>91</v>
      </c>
      <c r="F364" s="67">
        <v>1</v>
      </c>
      <c r="G364" s="67" t="str">
        <f t="shared" si="49"/>
        <v>0</v>
      </c>
      <c r="H364" s="12"/>
      <c r="I364" s="26"/>
      <c r="J364" s="26"/>
      <c r="K364" s="26"/>
      <c r="L364" s="26"/>
      <c r="M364" s="26" t="s">
        <v>1127</v>
      </c>
      <c r="N364" s="26"/>
      <c r="O364" s="26"/>
      <c r="P364" s="26"/>
      <c r="Q364" s="26"/>
      <c r="R364" s="26"/>
      <c r="S364" s="26"/>
      <c r="T364" s="26"/>
      <c r="U364" s="26"/>
      <c r="V364" s="29"/>
      <c r="W364" s="29"/>
      <c r="X364" s="29"/>
      <c r="Y364" s="29"/>
      <c r="Z364" s="29"/>
    </row>
    <row r="365" spans="1:26" ht="15.75" hidden="1" outlineLevel="1" x14ac:dyDescent="0.2">
      <c r="A365" s="8"/>
      <c r="B365" s="29"/>
      <c r="C365" s="125" t="s">
        <v>109</v>
      </c>
      <c r="D365" s="26" t="s">
        <v>1128</v>
      </c>
      <c r="E365" s="67" t="s">
        <v>91</v>
      </c>
      <c r="F365" s="67">
        <v>1</v>
      </c>
      <c r="G365" s="67" t="str">
        <f t="shared" si="49"/>
        <v>0</v>
      </c>
      <c r="H365" s="12"/>
      <c r="I365" s="26"/>
      <c r="J365" s="26"/>
      <c r="K365" s="26"/>
      <c r="L365" s="26"/>
      <c r="M365" s="26" t="s">
        <v>1129</v>
      </c>
      <c r="N365" s="26"/>
      <c r="O365" s="26"/>
      <c r="P365" s="26"/>
      <c r="Q365" s="26"/>
      <c r="R365" s="26"/>
      <c r="S365" s="26"/>
      <c r="T365" s="26"/>
      <c r="U365" s="26"/>
      <c r="V365" s="29"/>
      <c r="W365" s="29"/>
      <c r="X365" s="29"/>
      <c r="Y365" s="29"/>
      <c r="Z365" s="29"/>
    </row>
    <row r="366" spans="1:26" ht="15.75" hidden="1" outlineLevel="1" x14ac:dyDescent="0.2">
      <c r="A366" s="8"/>
      <c r="B366" s="29"/>
      <c r="C366" s="125" t="s">
        <v>109</v>
      </c>
      <c r="D366" s="26" t="s">
        <v>1130</v>
      </c>
      <c r="E366" s="67" t="s">
        <v>91</v>
      </c>
      <c r="F366" s="67">
        <v>1</v>
      </c>
      <c r="G366" s="67" t="str">
        <f t="shared" si="49"/>
        <v>0</v>
      </c>
      <c r="H366" s="12"/>
      <c r="I366" s="26"/>
      <c r="J366" s="26"/>
      <c r="K366" s="26"/>
      <c r="L366" s="26"/>
      <c r="M366" s="26" t="s">
        <v>1131</v>
      </c>
      <c r="N366" s="26"/>
      <c r="O366" s="26"/>
      <c r="P366" s="26"/>
      <c r="Q366" s="26"/>
      <c r="R366" s="26"/>
      <c r="S366" s="26"/>
      <c r="T366" s="26"/>
      <c r="U366" s="26"/>
      <c r="V366" s="29"/>
      <c r="W366" s="29"/>
      <c r="X366" s="29"/>
      <c r="Y366" s="29"/>
      <c r="Z366" s="29"/>
    </row>
    <row r="367" spans="1:26" ht="15.75" hidden="1" outlineLevel="1" x14ac:dyDescent="0.2">
      <c r="A367" s="8"/>
      <c r="B367" s="29"/>
      <c r="C367" s="125" t="s">
        <v>109</v>
      </c>
      <c r="D367" s="26" t="s">
        <v>1132</v>
      </c>
      <c r="E367" s="67" t="s">
        <v>91</v>
      </c>
      <c r="F367" s="67">
        <v>1</v>
      </c>
      <c r="G367" s="67" t="str">
        <f t="shared" si="49"/>
        <v>0</v>
      </c>
      <c r="H367" s="12"/>
      <c r="I367" s="26"/>
      <c r="J367" s="26"/>
      <c r="K367" s="26"/>
      <c r="L367" s="26"/>
      <c r="M367" s="26" t="s">
        <v>1133</v>
      </c>
      <c r="N367" s="26"/>
      <c r="O367" s="26"/>
      <c r="P367" s="26"/>
      <c r="Q367" s="26"/>
      <c r="R367" s="26"/>
      <c r="S367" s="26"/>
      <c r="T367" s="26"/>
      <c r="U367" s="26"/>
      <c r="V367" s="29"/>
      <c r="W367" s="29"/>
      <c r="X367" s="29"/>
      <c r="Y367" s="29"/>
      <c r="Z367" s="29"/>
    </row>
    <row r="368" spans="1:26" ht="15.75" hidden="1" outlineLevel="1" x14ac:dyDescent="0.2">
      <c r="A368" s="8"/>
      <c r="B368" s="29"/>
      <c r="C368" s="125" t="s">
        <v>109</v>
      </c>
      <c r="D368" s="26" t="s">
        <v>1134</v>
      </c>
      <c r="E368" s="67" t="s">
        <v>91</v>
      </c>
      <c r="F368" s="67">
        <v>1</v>
      </c>
      <c r="G368" s="67" t="str">
        <f t="shared" si="49"/>
        <v>0</v>
      </c>
      <c r="H368" s="12"/>
      <c r="I368" s="26"/>
      <c r="J368" s="26"/>
      <c r="K368" s="26"/>
      <c r="L368" s="26"/>
      <c r="M368" s="26" t="s">
        <v>1135</v>
      </c>
      <c r="N368" s="26"/>
      <c r="O368" s="26"/>
      <c r="P368" s="26"/>
      <c r="Q368" s="26"/>
      <c r="R368" s="26"/>
      <c r="S368" s="26"/>
      <c r="T368" s="26"/>
      <c r="U368" s="26"/>
      <c r="V368" s="29"/>
      <c r="W368" s="29"/>
      <c r="X368" s="29"/>
      <c r="Y368" s="29"/>
      <c r="Z368" s="29"/>
    </row>
    <row r="369" spans="1:26" ht="15.75" hidden="1" outlineLevel="1" x14ac:dyDescent="0.2">
      <c r="A369" s="8"/>
      <c r="B369" s="29"/>
      <c r="C369" s="125" t="s">
        <v>109</v>
      </c>
      <c r="D369" s="26" t="s">
        <v>1136</v>
      </c>
      <c r="E369" s="67" t="s">
        <v>91</v>
      </c>
      <c r="F369" s="67">
        <v>1</v>
      </c>
      <c r="G369" s="67" t="str">
        <f t="shared" si="49"/>
        <v>0</v>
      </c>
      <c r="H369" s="12"/>
      <c r="I369" s="26"/>
      <c r="J369" s="26"/>
      <c r="K369" s="26"/>
      <c r="L369" s="26"/>
      <c r="M369" s="26" t="s">
        <v>1137</v>
      </c>
      <c r="N369" s="26"/>
      <c r="O369" s="26"/>
      <c r="P369" s="26"/>
      <c r="Q369" s="26"/>
      <c r="R369" s="26"/>
      <c r="S369" s="26"/>
      <c r="T369" s="26"/>
      <c r="U369" s="26"/>
      <c r="V369" s="29"/>
      <c r="W369" s="29"/>
      <c r="X369" s="29"/>
      <c r="Y369" s="29"/>
      <c r="Z369" s="29"/>
    </row>
    <row r="370" spans="1:26" ht="15.75" hidden="1" outlineLevel="1" x14ac:dyDescent="0.2">
      <c r="A370" s="8"/>
      <c r="B370" s="29"/>
      <c r="C370" s="125" t="s">
        <v>109</v>
      </c>
      <c r="D370" s="26" t="s">
        <v>1138</v>
      </c>
      <c r="E370" s="67" t="s">
        <v>91</v>
      </c>
      <c r="F370" s="67">
        <v>1</v>
      </c>
      <c r="G370" s="67" t="str">
        <f t="shared" si="49"/>
        <v>0</v>
      </c>
      <c r="H370" s="12"/>
      <c r="I370" s="26"/>
      <c r="J370" s="26"/>
      <c r="K370" s="26"/>
      <c r="L370" s="26"/>
      <c r="M370" s="26" t="s">
        <v>1139</v>
      </c>
      <c r="N370" s="26"/>
      <c r="O370" s="26"/>
      <c r="P370" s="26"/>
      <c r="Q370" s="26"/>
      <c r="R370" s="26"/>
      <c r="S370" s="26"/>
      <c r="T370" s="26"/>
      <c r="U370" s="26"/>
      <c r="V370" s="29"/>
      <c r="W370" s="29"/>
      <c r="X370" s="29"/>
      <c r="Y370" s="29"/>
      <c r="Z370" s="29"/>
    </row>
    <row r="371" spans="1:26" ht="15.75" hidden="1" outlineLevel="1" x14ac:dyDescent="0.2">
      <c r="A371" s="8"/>
      <c r="B371" s="29"/>
      <c r="C371" s="125" t="s">
        <v>109</v>
      </c>
      <c r="D371" s="26" t="s">
        <v>1140</v>
      </c>
      <c r="E371" s="67" t="s">
        <v>91</v>
      </c>
      <c r="F371" s="67">
        <v>1</v>
      </c>
      <c r="G371" s="67" t="str">
        <f t="shared" si="49"/>
        <v>0</v>
      </c>
      <c r="H371" s="12"/>
      <c r="I371" s="26"/>
      <c r="J371" s="26"/>
      <c r="K371" s="26"/>
      <c r="L371" s="26"/>
      <c r="M371" s="26" t="s">
        <v>1141</v>
      </c>
      <c r="N371" s="26"/>
      <c r="O371" s="26"/>
      <c r="P371" s="26"/>
      <c r="Q371" s="26"/>
      <c r="R371" s="26"/>
      <c r="S371" s="26"/>
      <c r="T371" s="26"/>
      <c r="U371" s="26"/>
      <c r="V371" s="29"/>
      <c r="W371" s="29"/>
      <c r="X371" s="29"/>
      <c r="Y371" s="29"/>
      <c r="Z371" s="29"/>
    </row>
    <row r="372" spans="1:26" ht="15.75" hidden="1" outlineLevel="1" x14ac:dyDescent="0.2">
      <c r="A372" s="8"/>
      <c r="B372" s="29"/>
      <c r="C372" s="125" t="s">
        <v>109</v>
      </c>
      <c r="D372" s="26" t="s">
        <v>1142</v>
      </c>
      <c r="E372" s="67" t="s">
        <v>91</v>
      </c>
      <c r="F372" s="67">
        <v>1</v>
      </c>
      <c r="G372" s="67" t="str">
        <f t="shared" si="49"/>
        <v>0</v>
      </c>
      <c r="H372" s="12"/>
      <c r="I372" s="26"/>
      <c r="J372" s="26"/>
      <c r="K372" s="26"/>
      <c r="L372" s="26"/>
      <c r="M372" s="26" t="s">
        <v>1143</v>
      </c>
      <c r="N372" s="26"/>
      <c r="O372" s="26"/>
      <c r="P372" s="26"/>
      <c r="Q372" s="26"/>
      <c r="R372" s="26"/>
      <c r="S372" s="26"/>
      <c r="T372" s="26"/>
      <c r="U372" s="26"/>
      <c r="V372" s="29"/>
      <c r="W372" s="29"/>
      <c r="X372" s="29"/>
      <c r="Y372" s="29"/>
      <c r="Z372" s="29"/>
    </row>
    <row r="373" spans="1:26" ht="15.75" hidden="1" outlineLevel="1" x14ac:dyDescent="0.2">
      <c r="A373" s="8"/>
      <c r="B373" s="29"/>
      <c r="C373" s="125" t="s">
        <v>109</v>
      </c>
      <c r="D373" s="26" t="s">
        <v>1144</v>
      </c>
      <c r="E373" s="67" t="s">
        <v>91</v>
      </c>
      <c r="F373" s="67">
        <v>1</v>
      </c>
      <c r="G373" s="67" t="str">
        <f t="shared" si="49"/>
        <v>0</v>
      </c>
      <c r="H373" s="12"/>
      <c r="I373" s="26"/>
      <c r="J373" s="26"/>
      <c r="K373" s="26"/>
      <c r="L373" s="26"/>
      <c r="M373" s="26" t="s">
        <v>1145</v>
      </c>
      <c r="N373" s="26"/>
      <c r="O373" s="26"/>
      <c r="P373" s="26"/>
      <c r="Q373" s="26"/>
      <c r="R373" s="26"/>
      <c r="S373" s="26"/>
      <c r="T373" s="26"/>
      <c r="U373" s="26"/>
      <c r="V373" s="29"/>
      <c r="W373" s="29"/>
      <c r="X373" s="29"/>
      <c r="Y373" s="29"/>
      <c r="Z373" s="29"/>
    </row>
    <row r="374" spans="1:26" ht="15.75" hidden="1" outlineLevel="1" x14ac:dyDescent="0.2">
      <c r="A374" s="8"/>
      <c r="B374" s="29"/>
      <c r="C374" s="125" t="s">
        <v>109</v>
      </c>
      <c r="D374" s="26" t="s">
        <v>1146</v>
      </c>
      <c r="E374" s="67" t="s">
        <v>91</v>
      </c>
      <c r="F374" s="67">
        <v>1</v>
      </c>
      <c r="G374" s="67" t="str">
        <f t="shared" si="49"/>
        <v>0</v>
      </c>
      <c r="H374" s="12"/>
      <c r="I374" s="26"/>
      <c r="J374" s="26"/>
      <c r="K374" s="26"/>
      <c r="L374" s="26"/>
      <c r="M374" s="26" t="s">
        <v>1147</v>
      </c>
      <c r="N374" s="26"/>
      <c r="O374" s="26"/>
      <c r="P374" s="26"/>
      <c r="Q374" s="26"/>
      <c r="R374" s="26"/>
      <c r="S374" s="26"/>
      <c r="T374" s="26"/>
      <c r="U374" s="26"/>
      <c r="V374" s="29"/>
      <c r="W374" s="29"/>
      <c r="X374" s="29"/>
      <c r="Y374" s="29"/>
      <c r="Z374" s="29"/>
    </row>
    <row r="375" spans="1:26" ht="15.75" hidden="1" outlineLevel="1" x14ac:dyDescent="0.2">
      <c r="A375" s="8"/>
      <c r="B375" s="29"/>
      <c r="C375" s="125" t="s">
        <v>109</v>
      </c>
      <c r="D375" s="26" t="s">
        <v>1148</v>
      </c>
      <c r="E375" s="67" t="s">
        <v>91</v>
      </c>
      <c r="F375" s="67">
        <v>1</v>
      </c>
      <c r="G375" s="67" t="str">
        <f t="shared" si="49"/>
        <v>0</v>
      </c>
      <c r="H375" s="12"/>
      <c r="I375" s="26"/>
      <c r="J375" s="26"/>
      <c r="K375" s="26"/>
      <c r="L375" s="26"/>
      <c r="M375" s="26" t="s">
        <v>1149</v>
      </c>
      <c r="N375" s="26"/>
      <c r="O375" s="26"/>
      <c r="P375" s="26"/>
      <c r="Q375" s="26"/>
      <c r="R375" s="26"/>
      <c r="S375" s="26"/>
      <c r="T375" s="26"/>
      <c r="U375" s="26"/>
      <c r="V375" s="29"/>
      <c r="W375" s="29"/>
      <c r="X375" s="29"/>
      <c r="Y375" s="29"/>
      <c r="Z375" s="29"/>
    </row>
    <row r="376" spans="1:26" ht="15.75" hidden="1" outlineLevel="1" x14ac:dyDescent="0.2">
      <c r="A376" s="8"/>
      <c r="B376" s="29"/>
      <c r="C376" s="125" t="s">
        <v>109</v>
      </c>
      <c r="D376" s="26" t="s">
        <v>1150</v>
      </c>
      <c r="E376" s="67" t="s">
        <v>91</v>
      </c>
      <c r="F376" s="67">
        <v>1</v>
      </c>
      <c r="G376" s="67" t="str">
        <f t="shared" si="49"/>
        <v>0</v>
      </c>
      <c r="H376" s="12"/>
      <c r="I376" s="26"/>
      <c r="J376" s="26"/>
      <c r="K376" s="26"/>
      <c r="L376" s="26"/>
      <c r="M376" s="26" t="s">
        <v>1151</v>
      </c>
      <c r="N376" s="26"/>
      <c r="O376" s="26"/>
      <c r="P376" s="26"/>
      <c r="Q376" s="26"/>
      <c r="R376" s="26"/>
      <c r="S376" s="26"/>
      <c r="T376" s="26"/>
      <c r="U376" s="26"/>
      <c r="V376" s="29"/>
      <c r="W376" s="29"/>
      <c r="X376" s="29"/>
      <c r="Y376" s="29"/>
      <c r="Z376" s="29"/>
    </row>
    <row r="377" spans="1:26" ht="15.75" hidden="1" outlineLevel="1" x14ac:dyDescent="0.2">
      <c r="A377" s="8"/>
      <c r="B377" s="29"/>
      <c r="C377" s="125" t="s">
        <v>109</v>
      </c>
      <c r="D377" s="26" t="s">
        <v>1152</v>
      </c>
      <c r="E377" s="67" t="s">
        <v>91</v>
      </c>
      <c r="F377" s="67">
        <v>1</v>
      </c>
      <c r="G377" s="67" t="str">
        <f t="shared" si="49"/>
        <v>0</v>
      </c>
      <c r="H377" s="12"/>
      <c r="I377" s="26"/>
      <c r="J377" s="26"/>
      <c r="K377" s="26"/>
      <c r="L377" s="26"/>
      <c r="M377" s="26" t="s">
        <v>1153</v>
      </c>
      <c r="N377" s="26"/>
      <c r="O377" s="26"/>
      <c r="P377" s="26"/>
      <c r="Q377" s="26"/>
      <c r="R377" s="26"/>
      <c r="S377" s="26"/>
      <c r="T377" s="26"/>
      <c r="U377" s="26"/>
      <c r="V377" s="29"/>
      <c r="W377" s="29"/>
      <c r="X377" s="29"/>
      <c r="Y377" s="29"/>
      <c r="Z377" s="29"/>
    </row>
    <row r="378" spans="1:26" ht="15.75" hidden="1" outlineLevel="1" x14ac:dyDescent="0.2">
      <c r="A378" s="8"/>
      <c r="B378" s="29"/>
      <c r="C378" s="125" t="s">
        <v>109</v>
      </c>
      <c r="D378" s="26" t="s">
        <v>1154</v>
      </c>
      <c r="E378" s="67" t="s">
        <v>91</v>
      </c>
      <c r="F378" s="67">
        <v>1</v>
      </c>
      <c r="G378" s="67" t="str">
        <f t="shared" si="49"/>
        <v>0</v>
      </c>
      <c r="H378" s="12"/>
      <c r="I378" s="26"/>
      <c r="J378" s="26"/>
      <c r="K378" s="26"/>
      <c r="L378" s="26"/>
      <c r="M378" s="26" t="s">
        <v>1155</v>
      </c>
      <c r="N378" s="26"/>
      <c r="O378" s="26"/>
      <c r="P378" s="26"/>
      <c r="Q378" s="26"/>
      <c r="R378" s="26"/>
      <c r="S378" s="26"/>
      <c r="T378" s="26"/>
      <c r="U378" s="26"/>
      <c r="V378" s="29"/>
      <c r="W378" s="29"/>
      <c r="X378" s="29"/>
      <c r="Y378" s="29"/>
      <c r="Z378" s="29"/>
    </row>
    <row r="379" spans="1:26" ht="15.75" hidden="1" outlineLevel="1" x14ac:dyDescent="0.2">
      <c r="A379" s="8"/>
      <c r="B379" s="26"/>
      <c r="C379" s="125" t="s">
        <v>174</v>
      </c>
      <c r="D379" s="26" t="s">
        <v>1108</v>
      </c>
      <c r="E379" s="67" t="s">
        <v>91</v>
      </c>
      <c r="F379" s="67">
        <v>1</v>
      </c>
      <c r="G379" s="67" t="str">
        <f t="shared" si="49"/>
        <v>0</v>
      </c>
      <c r="H379" s="12"/>
      <c r="I379" s="26"/>
      <c r="J379" s="26"/>
      <c r="K379" s="26"/>
      <c r="L379" s="26"/>
      <c r="M379" s="26"/>
      <c r="N379" s="26"/>
      <c r="O379" s="26"/>
      <c r="P379" s="26"/>
      <c r="Q379" s="26"/>
      <c r="R379" s="26"/>
      <c r="S379" s="26"/>
      <c r="T379" s="26"/>
      <c r="U379" s="26"/>
      <c r="V379" s="29"/>
      <c r="W379" s="29"/>
      <c r="X379" s="29"/>
      <c r="Y379" s="29"/>
      <c r="Z379" s="29"/>
    </row>
    <row r="380" spans="1:26" ht="15.75" hidden="1" outlineLevel="1" x14ac:dyDescent="0.2">
      <c r="A380" s="8"/>
      <c r="B380" s="29"/>
      <c r="C380" s="125" t="s">
        <v>109</v>
      </c>
      <c r="D380" s="26" t="s">
        <v>1156</v>
      </c>
      <c r="E380" s="67" t="s">
        <v>91</v>
      </c>
      <c r="F380" s="67">
        <v>1</v>
      </c>
      <c r="G380" s="67" t="str">
        <f t="shared" si="49"/>
        <v>0</v>
      </c>
      <c r="H380" s="12"/>
      <c r="I380" s="26"/>
      <c r="J380" s="26"/>
      <c r="K380" s="26"/>
      <c r="L380" s="26"/>
      <c r="M380" s="26" t="s">
        <v>1157</v>
      </c>
      <c r="N380" s="26"/>
      <c r="O380" s="26"/>
      <c r="P380" s="26"/>
      <c r="Q380" s="26"/>
      <c r="R380" s="26"/>
      <c r="S380" s="26"/>
      <c r="T380" s="26"/>
      <c r="U380" s="26"/>
      <c r="V380" s="29"/>
      <c r="W380" s="29"/>
      <c r="X380" s="29"/>
      <c r="Y380" s="29"/>
      <c r="Z380" s="29"/>
    </row>
    <row r="381" spans="1:26" ht="15.75" hidden="1" outlineLevel="1" x14ac:dyDescent="0.2">
      <c r="A381" s="8"/>
      <c r="B381" s="29"/>
      <c r="C381" s="125" t="s">
        <v>109</v>
      </c>
      <c r="D381" s="26" t="s">
        <v>1158</v>
      </c>
      <c r="E381" s="67" t="s">
        <v>91</v>
      </c>
      <c r="F381" s="67">
        <v>1</v>
      </c>
      <c r="G381" s="67" t="str">
        <f t="shared" si="49"/>
        <v>0</v>
      </c>
      <c r="H381" s="12"/>
      <c r="I381" s="26"/>
      <c r="J381" s="26"/>
      <c r="K381" s="26"/>
      <c r="L381" s="26"/>
      <c r="M381" s="26" t="s">
        <v>1159</v>
      </c>
      <c r="N381" s="26"/>
      <c r="O381" s="26"/>
      <c r="P381" s="26"/>
      <c r="Q381" s="26"/>
      <c r="R381" s="26"/>
      <c r="S381" s="26"/>
      <c r="T381" s="26"/>
      <c r="U381" s="26"/>
      <c r="V381" s="29"/>
      <c r="W381" s="29"/>
      <c r="X381" s="29"/>
      <c r="Y381" s="29"/>
      <c r="Z381" s="29"/>
    </row>
    <row r="382" spans="1:26" ht="15.75" hidden="1" outlineLevel="1" x14ac:dyDescent="0.2">
      <c r="A382" s="8"/>
      <c r="B382" s="29"/>
      <c r="C382" s="125" t="s">
        <v>109</v>
      </c>
      <c r="D382" s="26" t="s">
        <v>1160</v>
      </c>
      <c r="E382" s="67" t="s">
        <v>91</v>
      </c>
      <c r="F382" s="67">
        <v>1</v>
      </c>
      <c r="G382" s="67" t="str">
        <f t="shared" si="49"/>
        <v>0</v>
      </c>
      <c r="H382" s="12"/>
      <c r="I382" s="26"/>
      <c r="J382" s="26"/>
      <c r="K382" s="26"/>
      <c r="L382" s="26"/>
      <c r="M382" s="26" t="s">
        <v>1161</v>
      </c>
      <c r="N382" s="26"/>
      <c r="O382" s="26"/>
      <c r="P382" s="26"/>
      <c r="Q382" s="26"/>
      <c r="R382" s="26"/>
      <c r="S382" s="26"/>
      <c r="T382" s="26"/>
      <c r="U382" s="26"/>
      <c r="V382" s="29"/>
      <c r="W382" s="29"/>
      <c r="X382" s="29"/>
      <c r="Y382" s="29"/>
      <c r="Z382" s="29"/>
    </row>
    <row r="383" spans="1:26" ht="15.75" hidden="1" outlineLevel="1" x14ac:dyDescent="0.2">
      <c r="A383" s="8"/>
      <c r="B383" s="29"/>
      <c r="C383" s="125" t="s">
        <v>109</v>
      </c>
      <c r="D383" s="26" t="s">
        <v>1162</v>
      </c>
      <c r="E383" s="67" t="s">
        <v>91</v>
      </c>
      <c r="F383" s="67">
        <v>1</v>
      </c>
      <c r="G383" s="67" t="str">
        <f t="shared" si="49"/>
        <v>0</v>
      </c>
      <c r="H383" s="12"/>
      <c r="I383" s="26"/>
      <c r="J383" s="26"/>
      <c r="K383" s="26"/>
      <c r="L383" s="26"/>
      <c r="M383" s="26" t="s">
        <v>1163</v>
      </c>
      <c r="N383" s="26"/>
      <c r="O383" s="26"/>
      <c r="P383" s="26"/>
      <c r="Q383" s="26"/>
      <c r="R383" s="26"/>
      <c r="S383" s="26"/>
      <c r="T383" s="26"/>
      <c r="U383" s="26"/>
      <c r="V383" s="29"/>
      <c r="W383" s="29"/>
      <c r="X383" s="29"/>
      <c r="Y383" s="29"/>
      <c r="Z383" s="29"/>
    </row>
    <row r="384" spans="1:26" ht="15.75" hidden="1" outlineLevel="1" x14ac:dyDescent="0.2">
      <c r="A384" s="8"/>
      <c r="B384" s="29"/>
      <c r="C384" s="125" t="s">
        <v>109</v>
      </c>
      <c r="D384" s="26" t="s">
        <v>1164</v>
      </c>
      <c r="E384" s="67" t="s">
        <v>91</v>
      </c>
      <c r="F384" s="67">
        <v>1</v>
      </c>
      <c r="G384" s="67" t="str">
        <f t="shared" si="49"/>
        <v>0</v>
      </c>
      <c r="H384" s="12"/>
      <c r="I384" s="26"/>
      <c r="J384" s="26"/>
      <c r="K384" s="26"/>
      <c r="L384" s="26"/>
      <c r="M384" s="26" t="s">
        <v>1165</v>
      </c>
      <c r="N384" s="26"/>
      <c r="O384" s="26"/>
      <c r="P384" s="26"/>
      <c r="Q384" s="26"/>
      <c r="R384" s="26"/>
      <c r="S384" s="26"/>
      <c r="T384" s="26"/>
      <c r="U384" s="26"/>
      <c r="V384" s="29"/>
      <c r="W384" s="29"/>
      <c r="X384" s="29"/>
      <c r="Y384" s="29"/>
      <c r="Z384" s="29"/>
    </row>
    <row r="385" spans="1:26" ht="15.75" hidden="1" outlineLevel="1" x14ac:dyDescent="0.2">
      <c r="A385" s="8"/>
      <c r="B385" s="29"/>
      <c r="C385" s="125" t="s">
        <v>109</v>
      </c>
      <c r="D385" s="26" t="s">
        <v>1166</v>
      </c>
      <c r="E385" s="67" t="s">
        <v>91</v>
      </c>
      <c r="F385" s="67">
        <v>1</v>
      </c>
      <c r="G385" s="67" t="str">
        <f t="shared" si="49"/>
        <v>0</v>
      </c>
      <c r="H385" s="12"/>
      <c r="I385" s="26"/>
      <c r="J385" s="26"/>
      <c r="K385" s="26"/>
      <c r="L385" s="26"/>
      <c r="M385" s="26" t="s">
        <v>1167</v>
      </c>
      <c r="N385" s="26"/>
      <c r="O385" s="26"/>
      <c r="P385" s="26"/>
      <c r="Q385" s="26"/>
      <c r="R385" s="26"/>
      <c r="S385" s="26"/>
      <c r="T385" s="26"/>
      <c r="U385" s="26"/>
      <c r="V385" s="29"/>
      <c r="W385" s="29"/>
      <c r="X385" s="29"/>
      <c r="Y385" s="29"/>
      <c r="Z385" s="29"/>
    </row>
    <row r="386" spans="1:26" ht="15.75" hidden="1" outlineLevel="1" x14ac:dyDescent="0.2">
      <c r="A386" s="8"/>
      <c r="B386" s="29"/>
      <c r="C386" s="125" t="s">
        <v>109</v>
      </c>
      <c r="D386" s="26" t="s">
        <v>1168</v>
      </c>
      <c r="E386" s="67" t="s">
        <v>91</v>
      </c>
      <c r="F386" s="67">
        <v>1</v>
      </c>
      <c r="G386" s="67" t="str">
        <f t="shared" si="49"/>
        <v>0</v>
      </c>
      <c r="H386" s="12"/>
      <c r="I386" s="26"/>
      <c r="J386" s="26"/>
      <c r="K386" s="26"/>
      <c r="L386" s="26"/>
      <c r="M386" s="26" t="s">
        <v>1169</v>
      </c>
      <c r="N386" s="26"/>
      <c r="O386" s="26"/>
      <c r="P386" s="26"/>
      <c r="Q386" s="26"/>
      <c r="R386" s="26"/>
      <c r="S386" s="26"/>
      <c r="T386" s="26"/>
      <c r="U386" s="26"/>
      <c r="V386" s="29"/>
      <c r="W386" s="29"/>
      <c r="X386" s="29"/>
      <c r="Y386" s="29"/>
      <c r="Z386" s="29"/>
    </row>
    <row r="387" spans="1:26" ht="15.75" hidden="1" outlineLevel="1" x14ac:dyDescent="0.2">
      <c r="A387" s="8"/>
      <c r="B387" s="29"/>
      <c r="C387" s="125" t="s">
        <v>109</v>
      </c>
      <c r="D387" s="26" t="s">
        <v>1170</v>
      </c>
      <c r="E387" s="67" t="s">
        <v>91</v>
      </c>
      <c r="F387" s="67">
        <v>1</v>
      </c>
      <c r="G387" s="67" t="str">
        <f t="shared" si="49"/>
        <v>0</v>
      </c>
      <c r="H387" s="12"/>
      <c r="I387" s="26"/>
      <c r="J387" s="26"/>
      <c r="K387" s="26"/>
      <c r="L387" s="26"/>
      <c r="M387" s="26" t="s">
        <v>1171</v>
      </c>
      <c r="N387" s="26"/>
      <c r="O387" s="26"/>
      <c r="P387" s="26"/>
      <c r="Q387" s="26"/>
      <c r="R387" s="26"/>
      <c r="S387" s="26"/>
      <c r="T387" s="26"/>
      <c r="U387" s="26"/>
      <c r="V387" s="29"/>
      <c r="W387" s="29"/>
      <c r="X387" s="29"/>
      <c r="Y387" s="29"/>
      <c r="Z387" s="29"/>
    </row>
    <row r="388" spans="1:26" ht="15.75" hidden="1" outlineLevel="1" x14ac:dyDescent="0.2">
      <c r="A388" s="8"/>
      <c r="B388" s="29"/>
      <c r="C388" s="125" t="s">
        <v>109</v>
      </c>
      <c r="D388" s="26" t="s">
        <v>1172</v>
      </c>
      <c r="E388" s="67" t="s">
        <v>91</v>
      </c>
      <c r="F388" s="67">
        <v>1</v>
      </c>
      <c r="G388" s="67" t="str">
        <f t="shared" si="49"/>
        <v>0</v>
      </c>
      <c r="H388" s="12"/>
      <c r="I388" s="26"/>
      <c r="J388" s="26"/>
      <c r="K388" s="26"/>
      <c r="L388" s="26"/>
      <c r="M388" s="26" t="s">
        <v>1173</v>
      </c>
      <c r="N388" s="26"/>
      <c r="O388" s="26"/>
      <c r="P388" s="26"/>
      <c r="Q388" s="26"/>
      <c r="R388" s="26"/>
      <c r="S388" s="26"/>
      <c r="T388" s="26"/>
      <c r="U388" s="26"/>
      <c r="V388" s="29"/>
      <c r="W388" s="29"/>
      <c r="X388" s="29"/>
      <c r="Y388" s="29"/>
      <c r="Z388" s="29"/>
    </row>
    <row r="389" spans="1:26" ht="15.75" hidden="1" outlineLevel="1" x14ac:dyDescent="0.2">
      <c r="A389" s="8"/>
      <c r="B389" s="29"/>
      <c r="C389" s="125" t="s">
        <v>109</v>
      </c>
      <c r="D389" s="26" t="s">
        <v>1174</v>
      </c>
      <c r="E389" s="67" t="s">
        <v>91</v>
      </c>
      <c r="F389" s="67">
        <v>1</v>
      </c>
      <c r="G389" s="67" t="str">
        <f t="shared" si="49"/>
        <v>0</v>
      </c>
      <c r="H389" s="12"/>
      <c r="I389" s="26"/>
      <c r="J389" s="26"/>
      <c r="K389" s="26"/>
      <c r="L389" s="26"/>
      <c r="M389" s="26" t="s">
        <v>1175</v>
      </c>
      <c r="N389" s="26"/>
      <c r="O389" s="26"/>
      <c r="P389" s="26"/>
      <c r="Q389" s="26"/>
      <c r="R389" s="26"/>
      <c r="S389" s="26"/>
      <c r="T389" s="26"/>
      <c r="U389" s="26"/>
      <c r="V389" s="29"/>
      <c r="W389" s="29"/>
      <c r="X389" s="29"/>
      <c r="Y389" s="29"/>
      <c r="Z389" s="29"/>
    </row>
    <row r="390" spans="1:26" ht="15.75" hidden="1" outlineLevel="1" x14ac:dyDescent="0.2">
      <c r="A390" s="8"/>
      <c r="B390" s="29"/>
      <c r="C390" s="125" t="s">
        <v>109</v>
      </c>
      <c r="D390" s="26" t="s">
        <v>1176</v>
      </c>
      <c r="E390" s="67" t="s">
        <v>91</v>
      </c>
      <c r="F390" s="67">
        <v>1</v>
      </c>
      <c r="G390" s="67" t="str">
        <f t="shared" si="49"/>
        <v>0</v>
      </c>
      <c r="H390" s="12"/>
      <c r="I390" s="26"/>
      <c r="J390" s="26"/>
      <c r="K390" s="26"/>
      <c r="L390" s="26"/>
      <c r="M390" s="26" t="s">
        <v>1177</v>
      </c>
      <c r="N390" s="26"/>
      <c r="O390" s="26"/>
      <c r="P390" s="26"/>
      <c r="Q390" s="26"/>
      <c r="R390" s="26"/>
      <c r="S390" s="26"/>
      <c r="T390" s="26"/>
      <c r="U390" s="26"/>
      <c r="V390" s="29"/>
      <c r="W390" s="29"/>
      <c r="X390" s="29"/>
      <c r="Y390" s="29"/>
      <c r="Z390" s="29"/>
    </row>
    <row r="391" spans="1:26" ht="15.75" hidden="1" outlineLevel="1" x14ac:dyDescent="0.2">
      <c r="A391" s="8"/>
      <c r="B391" s="29"/>
      <c r="C391" s="125" t="s">
        <v>109</v>
      </c>
      <c r="D391" s="26" t="s">
        <v>1178</v>
      </c>
      <c r="E391" s="67" t="s">
        <v>91</v>
      </c>
      <c r="F391" s="67">
        <v>1</v>
      </c>
      <c r="G391" s="67" t="str">
        <f t="shared" si="49"/>
        <v>0</v>
      </c>
      <c r="H391" s="12"/>
      <c r="I391" s="26"/>
      <c r="J391" s="26"/>
      <c r="K391" s="26"/>
      <c r="L391" s="26"/>
      <c r="M391" s="26" t="s">
        <v>1179</v>
      </c>
      <c r="N391" s="26"/>
      <c r="O391" s="26"/>
      <c r="P391" s="26"/>
      <c r="Q391" s="26"/>
      <c r="R391" s="26"/>
      <c r="S391" s="26"/>
      <c r="T391" s="26"/>
      <c r="U391" s="26"/>
      <c r="V391" s="29"/>
      <c r="W391" s="29"/>
      <c r="X391" s="29"/>
      <c r="Y391" s="29"/>
      <c r="Z391" s="29"/>
    </row>
    <row r="392" spans="1:26" ht="15.75" hidden="1" outlineLevel="1" x14ac:dyDescent="0.2">
      <c r="A392" s="8"/>
      <c r="B392" s="29"/>
      <c r="C392" s="125" t="s">
        <v>109</v>
      </c>
      <c r="D392" s="26" t="s">
        <v>1180</v>
      </c>
      <c r="E392" s="67" t="s">
        <v>91</v>
      </c>
      <c r="F392" s="67">
        <v>1</v>
      </c>
      <c r="G392" s="67" t="str">
        <f t="shared" si="49"/>
        <v>0</v>
      </c>
      <c r="H392" s="12"/>
      <c r="I392" s="26"/>
      <c r="J392" s="26"/>
      <c r="K392" s="26"/>
      <c r="L392" s="26"/>
      <c r="M392" s="26" t="s">
        <v>1181</v>
      </c>
      <c r="N392" s="26"/>
      <c r="O392" s="26"/>
      <c r="P392" s="26"/>
      <c r="Q392" s="26"/>
      <c r="R392" s="26"/>
      <c r="S392" s="26"/>
      <c r="T392" s="26"/>
      <c r="U392" s="26"/>
      <c r="V392" s="29"/>
      <c r="W392" s="29"/>
      <c r="X392" s="29"/>
      <c r="Y392" s="29"/>
      <c r="Z392" s="29"/>
    </row>
    <row r="393" spans="1:26" ht="15.75" hidden="1" outlineLevel="1" x14ac:dyDescent="0.2">
      <c r="A393" s="8"/>
      <c r="B393" s="29"/>
      <c r="C393" s="125" t="s">
        <v>109</v>
      </c>
      <c r="D393" s="26" t="s">
        <v>1182</v>
      </c>
      <c r="E393" s="67" t="s">
        <v>91</v>
      </c>
      <c r="F393" s="67">
        <v>1</v>
      </c>
      <c r="G393" s="67" t="str">
        <f t="shared" si="49"/>
        <v>0</v>
      </c>
      <c r="H393" s="12"/>
      <c r="I393" s="26"/>
      <c r="J393" s="26"/>
      <c r="K393" s="26"/>
      <c r="L393" s="26"/>
      <c r="M393" s="26" t="s">
        <v>1183</v>
      </c>
      <c r="N393" s="26"/>
      <c r="O393" s="26"/>
      <c r="P393" s="26"/>
      <c r="Q393" s="26"/>
      <c r="R393" s="26"/>
      <c r="S393" s="26"/>
      <c r="T393" s="26"/>
      <c r="U393" s="26"/>
      <c r="V393" s="29"/>
      <c r="W393" s="29"/>
      <c r="X393" s="29"/>
      <c r="Y393" s="29"/>
      <c r="Z393" s="29"/>
    </row>
    <row r="394" spans="1:26" ht="15.75" hidden="1" outlineLevel="1" x14ac:dyDescent="0.2">
      <c r="A394" s="8"/>
      <c r="B394" s="29"/>
      <c r="C394" s="125" t="s">
        <v>109</v>
      </c>
      <c r="D394" s="26" t="s">
        <v>1184</v>
      </c>
      <c r="E394" s="67" t="s">
        <v>91</v>
      </c>
      <c r="F394" s="67">
        <v>1</v>
      </c>
      <c r="G394" s="67" t="str">
        <f t="shared" si="49"/>
        <v>0</v>
      </c>
      <c r="H394" s="12"/>
      <c r="I394" s="26"/>
      <c r="J394" s="26"/>
      <c r="K394" s="26"/>
      <c r="L394" s="26"/>
      <c r="M394" s="26" t="s">
        <v>1185</v>
      </c>
      <c r="N394" s="26"/>
      <c r="O394" s="26"/>
      <c r="P394" s="26"/>
      <c r="Q394" s="26"/>
      <c r="R394" s="26"/>
      <c r="S394" s="26"/>
      <c r="T394" s="26"/>
      <c r="U394" s="26"/>
      <c r="V394" s="29"/>
      <c r="W394" s="29"/>
      <c r="X394" s="29"/>
      <c r="Y394" s="29"/>
      <c r="Z394" s="29"/>
    </row>
    <row r="395" spans="1:26" ht="15.75" hidden="1" outlineLevel="1" x14ac:dyDescent="0.2">
      <c r="A395" s="8"/>
      <c r="B395" s="29"/>
      <c r="C395" s="125" t="s">
        <v>109</v>
      </c>
      <c r="D395" s="26" t="s">
        <v>1186</v>
      </c>
      <c r="E395" s="67" t="s">
        <v>91</v>
      </c>
      <c r="F395" s="67">
        <v>1</v>
      </c>
      <c r="G395" s="67" t="str">
        <f t="shared" si="49"/>
        <v>0</v>
      </c>
      <c r="H395" s="12"/>
      <c r="I395" s="26"/>
      <c r="J395" s="26"/>
      <c r="K395" s="26"/>
      <c r="L395" s="26"/>
      <c r="M395" s="26" t="s">
        <v>1187</v>
      </c>
      <c r="N395" s="26"/>
      <c r="O395" s="26"/>
      <c r="P395" s="26"/>
      <c r="Q395" s="26"/>
      <c r="R395" s="26"/>
      <c r="S395" s="26"/>
      <c r="T395" s="26"/>
      <c r="U395" s="26"/>
      <c r="V395" s="29"/>
      <c r="W395" s="29"/>
      <c r="X395" s="29"/>
      <c r="Y395" s="29"/>
      <c r="Z395" s="29"/>
    </row>
    <row r="396" spans="1:26" ht="15.75" hidden="1" outlineLevel="1" x14ac:dyDescent="0.2">
      <c r="A396" s="8"/>
      <c r="B396" s="29"/>
      <c r="C396" s="125" t="s">
        <v>109</v>
      </c>
      <c r="D396" s="26" t="s">
        <v>1188</v>
      </c>
      <c r="E396" s="67" t="s">
        <v>91</v>
      </c>
      <c r="F396" s="67">
        <v>1</v>
      </c>
      <c r="G396" s="67" t="str">
        <f t="shared" si="49"/>
        <v>0</v>
      </c>
      <c r="H396" s="12"/>
      <c r="I396" s="26"/>
      <c r="J396" s="26"/>
      <c r="K396" s="26"/>
      <c r="L396" s="26"/>
      <c r="M396" s="26" t="s">
        <v>1189</v>
      </c>
      <c r="N396" s="26"/>
      <c r="O396" s="26"/>
      <c r="P396" s="26"/>
      <c r="Q396" s="26"/>
      <c r="R396" s="26"/>
      <c r="S396" s="26"/>
      <c r="T396" s="26"/>
      <c r="U396" s="26"/>
      <c r="V396" s="29"/>
      <c r="W396" s="29"/>
      <c r="X396" s="29"/>
      <c r="Y396" s="29"/>
      <c r="Z396" s="29"/>
    </row>
    <row r="397" spans="1:26" ht="15.75" hidden="1" outlineLevel="1" x14ac:dyDescent="0.2">
      <c r="A397" s="8"/>
      <c r="B397" s="29"/>
      <c r="C397" s="125" t="s">
        <v>109</v>
      </c>
      <c r="D397" s="26" t="s">
        <v>1190</v>
      </c>
      <c r="E397" s="67" t="s">
        <v>91</v>
      </c>
      <c r="F397" s="67">
        <v>1</v>
      </c>
      <c r="G397" s="67" t="str">
        <f t="shared" si="49"/>
        <v>0</v>
      </c>
      <c r="H397" s="12"/>
      <c r="I397" s="26"/>
      <c r="J397" s="26"/>
      <c r="K397" s="26"/>
      <c r="L397" s="26"/>
      <c r="M397" s="26" t="s">
        <v>1191</v>
      </c>
      <c r="N397" s="26"/>
      <c r="O397" s="26"/>
      <c r="P397" s="26"/>
      <c r="Q397" s="26"/>
      <c r="R397" s="26"/>
      <c r="S397" s="26"/>
      <c r="T397" s="26"/>
      <c r="U397" s="26"/>
      <c r="V397" s="29"/>
      <c r="W397" s="29"/>
      <c r="X397" s="29"/>
      <c r="Y397" s="29"/>
      <c r="Z397" s="29"/>
    </row>
    <row r="398" spans="1:26" ht="15.75" hidden="1" outlineLevel="1" x14ac:dyDescent="0.2">
      <c r="A398" s="8"/>
      <c r="B398" s="29"/>
      <c r="C398" s="125" t="s">
        <v>109</v>
      </c>
      <c r="D398" s="26" t="s">
        <v>1192</v>
      </c>
      <c r="E398" s="67" t="s">
        <v>91</v>
      </c>
      <c r="F398" s="67">
        <v>1</v>
      </c>
      <c r="G398" s="67" t="str">
        <f t="shared" si="49"/>
        <v>0</v>
      </c>
      <c r="H398" s="12"/>
      <c r="I398" s="26"/>
      <c r="J398" s="26"/>
      <c r="K398" s="26"/>
      <c r="L398" s="26"/>
      <c r="M398" s="26" t="s">
        <v>1193</v>
      </c>
      <c r="N398" s="26"/>
      <c r="O398" s="26"/>
      <c r="P398" s="26"/>
      <c r="Q398" s="26"/>
      <c r="R398" s="26"/>
      <c r="S398" s="26"/>
      <c r="T398" s="26"/>
      <c r="U398" s="26"/>
      <c r="V398" s="29"/>
      <c r="W398" s="29"/>
      <c r="X398" s="29"/>
      <c r="Y398" s="29"/>
      <c r="Z398" s="29"/>
    </row>
    <row r="399" spans="1:26" ht="15.75" hidden="1" outlineLevel="1" x14ac:dyDescent="0.2">
      <c r="A399" s="8"/>
      <c r="B399" s="29"/>
      <c r="C399" s="125" t="s">
        <v>109</v>
      </c>
      <c r="D399" s="26" t="s">
        <v>1194</v>
      </c>
      <c r="E399" s="67" t="s">
        <v>91</v>
      </c>
      <c r="F399" s="67">
        <v>1</v>
      </c>
      <c r="G399" s="67" t="str">
        <f t="shared" si="49"/>
        <v>0</v>
      </c>
      <c r="H399" s="12"/>
      <c r="I399" s="26"/>
      <c r="J399" s="26"/>
      <c r="K399" s="26"/>
      <c r="L399" s="26"/>
      <c r="M399" s="26" t="s">
        <v>1195</v>
      </c>
      <c r="N399" s="26"/>
      <c r="O399" s="26"/>
      <c r="P399" s="26"/>
      <c r="Q399" s="26"/>
      <c r="R399" s="26"/>
      <c r="S399" s="26"/>
      <c r="T399" s="26"/>
      <c r="U399" s="26"/>
      <c r="V399" s="29"/>
      <c r="W399" s="29"/>
      <c r="X399" s="29"/>
      <c r="Y399" s="29"/>
      <c r="Z399" s="29"/>
    </row>
    <row r="400" spans="1:26" ht="165.75" hidden="1" outlineLevel="1" x14ac:dyDescent="0.2">
      <c r="A400" s="8"/>
      <c r="B400" s="29"/>
      <c r="C400" s="125" t="s">
        <v>1020</v>
      </c>
      <c r="D400" s="26" t="s">
        <v>1196</v>
      </c>
      <c r="E400" s="67" t="s">
        <v>91</v>
      </c>
      <c r="F400" s="67">
        <v>1</v>
      </c>
      <c r="G400" s="67" t="str">
        <f t="shared" si="49"/>
        <v>0</v>
      </c>
      <c r="H400" s="12" t="s">
        <v>1197</v>
      </c>
      <c r="I400" s="26"/>
      <c r="J400" s="26"/>
      <c r="K400" s="26"/>
      <c r="L400" s="26" t="s">
        <v>1198</v>
      </c>
      <c r="M400" s="26"/>
      <c r="N400" s="26"/>
      <c r="O400" s="26"/>
      <c r="P400" s="26" t="s">
        <v>83</v>
      </c>
      <c r="Q400" s="26"/>
      <c r="R400" s="26" t="str">
        <f t="shared" ref="R400:R404" si="51">IF(E400="no", H400, CONCATENATE(G400,". &lt;br&gt;",H400))</f>
        <v>&lt;b&gt;Product details&lt;/b&gt;
&lt;br&gt;&lt;font color=black&gt;Dosage form: 
&lt;br&gt;&lt;h4&gt;&lt;font color=blue&gt;${a3_lbl_search}&lt;/h4&gt;
&lt;br&gt;Brand:
&lt;br&gt;&lt;h4&gt;&lt;font color=blue&gt;${brand_search}&lt;/h4&gt; 
&lt;br&gt;&lt;font color=black&gt;Active ingredient(s) and strength(s):
&lt;br&gt;&lt;font color=blue&gt;${ai1_lbl_search} - ${ai1_strength_search}
&lt;br&gt;&lt;font color=blue&gt;${ai2_lbl_search} - ${ai2_strength_search}
&lt;br&gt;&lt;font color=blue&gt;${ai3_lbl_search} - ${ai3_strength_search}
&lt;br&gt;&lt;font color=black&gt;Manufacturer: 
&lt;br&gt;&lt;font color=blue&gt;${manu_search}
&lt;br&gt;
&lt;br&gt;&lt;font color=black&gt;&lt;b&gt;Confirm these details are correct:&lt;/b&gt;</v>
      </c>
      <c r="S400" s="26" t="s">
        <v>1199</v>
      </c>
      <c r="T400" s="26"/>
      <c r="U400" s="26"/>
      <c r="V400" s="29"/>
      <c r="W400" s="29"/>
      <c r="X400" s="29"/>
      <c r="Y400" s="29"/>
      <c r="Z400" s="29"/>
    </row>
    <row r="401" spans="1:26" ht="25.5" hidden="1" outlineLevel="1" x14ac:dyDescent="0.2">
      <c r="A401" s="8"/>
      <c r="B401" s="29"/>
      <c r="C401" s="125" t="s">
        <v>76</v>
      </c>
      <c r="D401" s="26" t="s">
        <v>1200</v>
      </c>
      <c r="E401" s="67" t="s">
        <v>91</v>
      </c>
      <c r="F401" s="67">
        <v>1</v>
      </c>
      <c r="G401" s="67" t="str">
        <f t="shared" si="49"/>
        <v>0</v>
      </c>
      <c r="H401" s="12" t="s">
        <v>1201</v>
      </c>
      <c r="I401" s="26"/>
      <c r="J401" s="26"/>
      <c r="K401" s="26"/>
      <c r="L401" s="26" t="s">
        <v>1202</v>
      </c>
      <c r="M401" s="26"/>
      <c r="N401" s="26"/>
      <c r="O401" s="26"/>
      <c r="P401" s="26"/>
      <c r="Q401" s="26"/>
      <c r="R401" s="26" t="str">
        <f t="shared" si="51"/>
        <v>&lt;font color=red&gt;No pre-loaded data was found for this brand name. Therefore, you can manually enter product information.</v>
      </c>
      <c r="S401" s="26" t="s">
        <v>1203</v>
      </c>
      <c r="T401" s="26"/>
      <c r="U401" s="26"/>
      <c r="V401" s="29"/>
      <c r="W401" s="29"/>
      <c r="X401" s="29"/>
      <c r="Y401" s="29"/>
      <c r="Z401" s="29"/>
    </row>
    <row r="402" spans="1:26" ht="89.25" hidden="1" outlineLevel="1" x14ac:dyDescent="0.2">
      <c r="A402" s="8"/>
      <c r="B402" s="29"/>
      <c r="C402" s="125" t="s">
        <v>76</v>
      </c>
      <c r="D402" s="26" t="s">
        <v>1204</v>
      </c>
      <c r="E402" s="67" t="s">
        <v>91</v>
      </c>
      <c r="F402" s="67">
        <v>1</v>
      </c>
      <c r="G402" s="67" t="str">
        <f t="shared" si="49"/>
        <v>0</v>
      </c>
      <c r="H402" s="12" t="s">
        <v>1205</v>
      </c>
      <c r="I402" s="26"/>
      <c r="J402" s="26"/>
      <c r="K402" s="26"/>
      <c r="L402" s="26" t="s">
        <v>1206</v>
      </c>
      <c r="M402" s="26"/>
      <c r="N402" s="26"/>
      <c r="O402" s="26"/>
      <c r="P402" s="26"/>
      <c r="Q402" s="26"/>
      <c r="R402" s="26" t="str">
        <f t="shared" si="51"/>
        <v xml:space="preserve">&lt;font color=red&gt;You indicated that the details provided for &lt;br&gt;&lt;u&gt;&lt;h4&gt;&lt;font color=blue&gt;${tabsearchtext} ${ntab_searchtext}&lt;/u&gt;&lt;/h4&gt;&lt;font color=red&gt; were &lt;b&gt;NOT&lt;/b&gt; correct. 
&lt;br&gt;
If you would like to try a new search, go back and restart the search. 
&lt;br&gt;
If you would like to manually enter information for this product, please proceed. </v>
      </c>
      <c r="S402" s="26" t="s">
        <v>1207</v>
      </c>
      <c r="T402" s="26"/>
      <c r="U402" s="26"/>
      <c r="V402" s="29"/>
      <c r="W402" s="29"/>
      <c r="X402" s="29"/>
      <c r="Y402" s="29"/>
      <c r="Z402" s="29"/>
    </row>
    <row r="403" spans="1:26" ht="15.75" hidden="1" outlineLevel="1" x14ac:dyDescent="0.2">
      <c r="A403" s="8"/>
      <c r="B403" s="29"/>
      <c r="C403" s="125" t="s">
        <v>1208</v>
      </c>
      <c r="D403" s="26" t="s">
        <v>1209</v>
      </c>
      <c r="E403" s="67" t="s">
        <v>91</v>
      </c>
      <c r="F403" s="67">
        <v>1</v>
      </c>
      <c r="G403" s="67" t="str">
        <f t="shared" si="49"/>
        <v>0</v>
      </c>
      <c r="H403" s="12" t="s">
        <v>1210</v>
      </c>
      <c r="I403" s="26"/>
      <c r="J403" s="26"/>
      <c r="K403" s="26"/>
      <c r="L403" s="26" t="s">
        <v>1211</v>
      </c>
      <c r="M403" s="26"/>
      <c r="N403" s="26"/>
      <c r="O403" s="26"/>
      <c r="P403" s="26" t="s">
        <v>83</v>
      </c>
      <c r="Q403" s="26"/>
      <c r="R403" s="26" t="str">
        <f t="shared" si="51"/>
        <v xml:space="preserve">What type of suspension: </v>
      </c>
      <c r="S403" s="26" t="s">
        <v>1212</v>
      </c>
      <c r="T403" s="26"/>
      <c r="U403" s="26"/>
      <c r="V403" s="29"/>
      <c r="W403" s="29"/>
      <c r="X403" s="29"/>
      <c r="Y403" s="29"/>
      <c r="Z403" s="29"/>
    </row>
    <row r="404" spans="1:26" ht="15.75" hidden="1" outlineLevel="1" x14ac:dyDescent="0.2">
      <c r="A404" s="8"/>
      <c r="B404" s="29"/>
      <c r="C404" s="125" t="s">
        <v>144</v>
      </c>
      <c r="D404" s="26" t="s">
        <v>1213</v>
      </c>
      <c r="E404" s="67" t="s">
        <v>91</v>
      </c>
      <c r="F404" s="67">
        <v>1</v>
      </c>
      <c r="G404" s="67" t="str">
        <f t="shared" si="49"/>
        <v>0</v>
      </c>
      <c r="H404" s="12" t="s">
        <v>1214</v>
      </c>
      <c r="I404" s="26"/>
      <c r="J404" s="26"/>
      <c r="K404" s="26"/>
      <c r="L404" s="26" t="s">
        <v>1215</v>
      </c>
      <c r="M404" s="26"/>
      <c r="N404" s="26"/>
      <c r="O404" s="26"/>
      <c r="P404" s="26"/>
      <c r="Q404" s="26"/>
      <c r="R404" s="26" t="str">
        <f t="shared" si="51"/>
        <v>Specify other dosage form:</v>
      </c>
      <c r="S404" s="26" t="s">
        <v>1216</v>
      </c>
      <c r="T404" s="26"/>
      <c r="U404" s="26"/>
      <c r="V404" s="29"/>
      <c r="W404" s="29"/>
      <c r="X404" s="29"/>
      <c r="Y404" s="29"/>
      <c r="Z404" s="29"/>
    </row>
    <row r="405" spans="1:26" ht="15.75" hidden="1" outlineLevel="1" x14ac:dyDescent="0.2">
      <c r="A405" s="8"/>
      <c r="B405" s="29"/>
      <c r="C405" s="125" t="s">
        <v>174</v>
      </c>
      <c r="D405" s="26" t="s">
        <v>1045</v>
      </c>
      <c r="E405" s="67" t="s">
        <v>91</v>
      </c>
      <c r="F405" s="67">
        <v>1</v>
      </c>
      <c r="G405" s="67" t="s">
        <v>329</v>
      </c>
      <c r="H405" s="12"/>
      <c r="I405" s="26"/>
      <c r="J405" s="26"/>
      <c r="K405" s="26"/>
      <c r="L405" s="26"/>
      <c r="M405" s="26"/>
      <c r="N405" s="26"/>
      <c r="O405" s="26"/>
      <c r="P405" s="26"/>
      <c r="Q405" s="26"/>
      <c r="R405" s="26"/>
      <c r="S405" s="26"/>
      <c r="T405" s="26"/>
      <c r="U405" s="26"/>
      <c r="V405" s="29"/>
      <c r="W405" s="29"/>
      <c r="X405" s="29"/>
      <c r="Y405" s="29"/>
      <c r="Z405" s="29"/>
    </row>
    <row r="406" spans="1:26" ht="15.75" hidden="1" outlineLevel="1" x14ac:dyDescent="0.2">
      <c r="A406" s="8"/>
      <c r="B406" s="29"/>
      <c r="C406" s="125"/>
      <c r="D406" s="26"/>
      <c r="E406" s="67"/>
      <c r="F406" s="67"/>
      <c r="G406" s="67"/>
      <c r="H406" s="12"/>
      <c r="I406" s="26"/>
      <c r="J406" s="26"/>
      <c r="K406" s="26"/>
      <c r="L406" s="26"/>
      <c r="M406" s="26"/>
      <c r="N406" s="26"/>
      <c r="O406" s="26"/>
      <c r="P406" s="26"/>
      <c r="Q406" s="26"/>
      <c r="R406" s="26"/>
      <c r="S406" s="26"/>
      <c r="T406" s="26"/>
      <c r="U406" s="26"/>
      <c r="V406" s="29"/>
      <c r="W406" s="29"/>
      <c r="X406" s="29"/>
      <c r="Y406" s="29"/>
      <c r="Z406" s="29"/>
    </row>
    <row r="407" spans="1:26" ht="15.75" outlineLevel="1" x14ac:dyDescent="0.2">
      <c r="A407" s="71" t="s">
        <v>1217</v>
      </c>
      <c r="B407" s="26"/>
      <c r="C407" s="125" t="s">
        <v>89</v>
      </c>
      <c r="D407" s="26" t="s">
        <v>1218</v>
      </c>
      <c r="E407" s="67" t="s">
        <v>91</v>
      </c>
      <c r="F407" s="67">
        <v>1</v>
      </c>
      <c r="G407" s="67">
        <f t="shared" ref="G407:G467" si="52">IF(E407="no", G406, IF(F407=F406, G406+1, 1))</f>
        <v>0</v>
      </c>
      <c r="H407" s="12" t="s">
        <v>1219</v>
      </c>
      <c r="I407" s="26"/>
      <c r="J407" s="26"/>
      <c r="K407" s="26"/>
      <c r="L407" s="26" t="s">
        <v>1220</v>
      </c>
      <c r="M407" s="26"/>
      <c r="N407" s="26"/>
      <c r="O407" s="26"/>
      <c r="P407" s="26"/>
      <c r="Q407" s="26"/>
      <c r="R407" s="26" t="str">
        <f t="shared" ref="R407:R410" si="53">IF(E407="no", H407, CONCATENATE(G407,". &lt;br&gt;",H407))</f>
        <v>Manual entry:</v>
      </c>
      <c r="S407" s="26" t="s">
        <v>1221</v>
      </c>
      <c r="T407" s="26"/>
      <c r="U407" s="26"/>
      <c r="V407" s="29"/>
      <c r="W407" s="29"/>
      <c r="X407" s="29"/>
      <c r="Y407" s="29"/>
      <c r="Z407" s="29"/>
    </row>
    <row r="408" spans="1:26" ht="15.75" hidden="1" outlineLevel="1" x14ac:dyDescent="0.2">
      <c r="A408" s="8"/>
      <c r="B408" s="29"/>
      <c r="C408" s="125" t="s">
        <v>508</v>
      </c>
      <c r="D408" s="26" t="s">
        <v>1222</v>
      </c>
      <c r="E408" s="67" t="s">
        <v>83</v>
      </c>
      <c r="F408" s="67">
        <v>1</v>
      </c>
      <c r="G408" s="67">
        <f t="shared" si="52"/>
        <v>1</v>
      </c>
      <c r="H408" s="12" t="s">
        <v>1223</v>
      </c>
      <c r="I408" s="26"/>
      <c r="J408" s="26"/>
      <c r="K408" s="26"/>
      <c r="L408" s="26"/>
      <c r="M408" s="26"/>
      <c r="N408" s="26"/>
      <c r="O408" s="26"/>
      <c r="P408" s="26" t="s">
        <v>83</v>
      </c>
      <c r="Q408" s="26"/>
      <c r="R408" s="26" t="str">
        <f t="shared" si="53"/>
        <v>1. &lt;br&gt;Dosage form:</v>
      </c>
      <c r="S408" s="26" t="s">
        <v>1224</v>
      </c>
      <c r="T408" s="26"/>
      <c r="U408" s="26"/>
      <c r="V408" s="29"/>
      <c r="W408" s="29"/>
      <c r="X408" s="29"/>
      <c r="Y408" s="29"/>
      <c r="Z408" s="29"/>
    </row>
    <row r="409" spans="1:26" ht="15.75" hidden="1" outlineLevel="1" x14ac:dyDescent="0.2">
      <c r="A409" s="8"/>
      <c r="B409" s="29"/>
      <c r="C409" s="125" t="s">
        <v>1208</v>
      </c>
      <c r="D409" s="26" t="s">
        <v>1225</v>
      </c>
      <c r="E409" s="67" t="s">
        <v>91</v>
      </c>
      <c r="F409" s="67">
        <v>1</v>
      </c>
      <c r="G409" s="67">
        <f t="shared" si="52"/>
        <v>1</v>
      </c>
      <c r="H409" s="12" t="s">
        <v>1210</v>
      </c>
      <c r="I409" s="26"/>
      <c r="J409" s="26"/>
      <c r="K409" s="26"/>
      <c r="L409" s="26" t="s">
        <v>1226</v>
      </c>
      <c r="M409" s="26"/>
      <c r="N409" s="26"/>
      <c r="O409" s="26"/>
      <c r="P409" s="26" t="s">
        <v>83</v>
      </c>
      <c r="Q409" s="26"/>
      <c r="R409" s="26" t="str">
        <f t="shared" si="53"/>
        <v xml:space="preserve">What type of suspension: </v>
      </c>
      <c r="S409" s="26" t="s">
        <v>1212</v>
      </c>
      <c r="T409" s="26"/>
      <c r="U409" s="26"/>
      <c r="V409" s="29"/>
      <c r="W409" s="29"/>
      <c r="X409" s="29"/>
      <c r="Y409" s="29"/>
      <c r="Z409" s="29"/>
    </row>
    <row r="410" spans="1:26" ht="15.75" hidden="1" outlineLevel="1" x14ac:dyDescent="0.2">
      <c r="A410" s="8"/>
      <c r="B410" s="29"/>
      <c r="C410" s="125" t="s">
        <v>144</v>
      </c>
      <c r="D410" s="26" t="s">
        <v>1227</v>
      </c>
      <c r="E410" s="67" t="s">
        <v>91</v>
      </c>
      <c r="F410" s="67">
        <v>1</v>
      </c>
      <c r="G410" s="67">
        <f t="shared" si="52"/>
        <v>1</v>
      </c>
      <c r="H410" s="12" t="s">
        <v>1228</v>
      </c>
      <c r="I410" s="26"/>
      <c r="J410" s="26"/>
      <c r="K410" s="26"/>
      <c r="L410" s="26" t="s">
        <v>1229</v>
      </c>
      <c r="M410" s="26"/>
      <c r="N410" s="26"/>
      <c r="O410" s="26"/>
      <c r="P410" s="26" t="s">
        <v>83</v>
      </c>
      <c r="Q410" s="26"/>
      <c r="R410" s="26" t="str">
        <f t="shared" si="53"/>
        <v>Specify other suspension form:</v>
      </c>
      <c r="S410" s="26" t="s">
        <v>1230</v>
      </c>
      <c r="T410" s="26"/>
      <c r="U410" s="26"/>
      <c r="V410" s="29"/>
      <c r="W410" s="29"/>
      <c r="X410" s="29"/>
      <c r="Y410" s="29"/>
      <c r="Z410" s="29"/>
    </row>
    <row r="411" spans="1:26" ht="15.75" hidden="1" outlineLevel="1" x14ac:dyDescent="0.2">
      <c r="A411" s="8"/>
      <c r="B411" s="29"/>
      <c r="C411" s="125" t="s">
        <v>109</v>
      </c>
      <c r="D411" s="26" t="s">
        <v>1231</v>
      </c>
      <c r="E411" s="67" t="s">
        <v>91</v>
      </c>
      <c r="F411" s="67">
        <v>1</v>
      </c>
      <c r="G411" s="67">
        <f t="shared" si="52"/>
        <v>1</v>
      </c>
      <c r="H411" s="12"/>
      <c r="I411" s="26"/>
      <c r="J411" s="26"/>
      <c r="K411" s="26"/>
      <c r="L411" s="26"/>
      <c r="M411" s="41" t="s">
        <v>1232</v>
      </c>
      <c r="N411" s="26"/>
      <c r="O411" s="26"/>
      <c r="P411" s="26"/>
      <c r="Q411" s="26"/>
      <c r="R411" s="26"/>
      <c r="S411" s="26"/>
      <c r="T411" s="26"/>
      <c r="U411" s="26"/>
      <c r="V411" s="29"/>
      <c r="W411" s="29"/>
      <c r="X411" s="29"/>
      <c r="Y411" s="29"/>
      <c r="Z411" s="29"/>
    </row>
    <row r="412" spans="1:26" ht="15.75" hidden="1" outlineLevel="1" x14ac:dyDescent="0.2">
      <c r="A412" s="8"/>
      <c r="B412" s="29"/>
      <c r="C412" s="125" t="s">
        <v>109</v>
      </c>
      <c r="D412" s="26" t="s">
        <v>1233</v>
      </c>
      <c r="E412" s="67" t="s">
        <v>91</v>
      </c>
      <c r="F412" s="67">
        <v>1</v>
      </c>
      <c r="G412" s="67">
        <f t="shared" si="52"/>
        <v>1</v>
      </c>
      <c r="H412" s="12"/>
      <c r="I412" s="26"/>
      <c r="J412" s="26"/>
      <c r="K412" s="26"/>
      <c r="L412" s="26"/>
      <c r="M412" s="26" t="s">
        <v>1234</v>
      </c>
      <c r="N412" s="26"/>
      <c r="O412" s="26"/>
      <c r="P412" s="26"/>
      <c r="Q412" s="26"/>
      <c r="R412" s="26"/>
      <c r="S412" s="26"/>
      <c r="T412" s="26"/>
      <c r="U412" s="26"/>
      <c r="V412" s="29"/>
      <c r="W412" s="29"/>
      <c r="X412" s="29"/>
      <c r="Y412" s="29"/>
      <c r="Z412" s="29"/>
    </row>
    <row r="413" spans="1:26" ht="15.75" hidden="1" outlineLevel="1" x14ac:dyDescent="0.2">
      <c r="A413" s="8"/>
      <c r="B413" s="29"/>
      <c r="C413" s="125" t="s">
        <v>144</v>
      </c>
      <c r="D413" s="26" t="s">
        <v>1235</v>
      </c>
      <c r="E413" s="67" t="s">
        <v>91</v>
      </c>
      <c r="F413" s="67">
        <v>1</v>
      </c>
      <c r="G413" s="67">
        <f t="shared" si="52"/>
        <v>1</v>
      </c>
      <c r="H413" s="12" t="s">
        <v>1214</v>
      </c>
      <c r="I413" s="26"/>
      <c r="J413" s="26"/>
      <c r="K413" s="26"/>
      <c r="L413" s="26" t="s">
        <v>1236</v>
      </c>
      <c r="M413" s="26"/>
      <c r="N413" s="26"/>
      <c r="O413" s="26"/>
      <c r="P413" s="26" t="s">
        <v>83</v>
      </c>
      <c r="Q413" s="26"/>
      <c r="R413" s="26" t="str">
        <f t="shared" ref="R413:R419" si="54">IF(E413="no", H413, CONCATENATE(G413,". &lt;br&gt;",H413))</f>
        <v>Specify other dosage form:</v>
      </c>
      <c r="S413" s="26" t="s">
        <v>1216</v>
      </c>
      <c r="T413" s="26"/>
      <c r="U413" s="26"/>
      <c r="V413" s="29"/>
      <c r="W413" s="29"/>
      <c r="X413" s="29"/>
      <c r="Y413" s="29"/>
      <c r="Z413" s="29"/>
    </row>
    <row r="414" spans="1:26" ht="15.75" hidden="1" outlineLevel="1" x14ac:dyDescent="0.2">
      <c r="A414" s="8"/>
      <c r="B414" s="29"/>
      <c r="C414" s="125" t="s">
        <v>144</v>
      </c>
      <c r="D414" s="26" t="s">
        <v>1237</v>
      </c>
      <c r="E414" s="67" t="s">
        <v>83</v>
      </c>
      <c r="F414" s="67">
        <v>1</v>
      </c>
      <c r="G414" s="67">
        <f t="shared" si="52"/>
        <v>2</v>
      </c>
      <c r="H414" s="12" t="s">
        <v>1238</v>
      </c>
      <c r="I414" s="26" t="s">
        <v>1239</v>
      </c>
      <c r="J414" s="26"/>
      <c r="K414" s="26"/>
      <c r="L414" s="26"/>
      <c r="M414" s="26"/>
      <c r="N414" s="26"/>
      <c r="O414" s="26"/>
      <c r="P414" s="26" t="s">
        <v>83</v>
      </c>
      <c r="Q414" s="26"/>
      <c r="R414" s="26" t="str">
        <f t="shared" si="54"/>
        <v>2. &lt;br&gt;Brand name:</v>
      </c>
      <c r="S414" s="26" t="s">
        <v>1240</v>
      </c>
      <c r="T414" s="26" t="s">
        <v>1241</v>
      </c>
      <c r="U414" s="26"/>
      <c r="V414" s="29"/>
      <c r="W414" s="29"/>
      <c r="X414" s="29"/>
      <c r="Y414" s="29"/>
      <c r="Z414" s="29"/>
    </row>
    <row r="415" spans="1:26" ht="15.75" hidden="1" outlineLevel="1" x14ac:dyDescent="0.2">
      <c r="A415" s="8"/>
      <c r="B415" s="26"/>
      <c r="C415" s="125" t="s">
        <v>144</v>
      </c>
      <c r="D415" s="26" t="s">
        <v>1242</v>
      </c>
      <c r="E415" s="67" t="s">
        <v>83</v>
      </c>
      <c r="F415" s="67">
        <v>1</v>
      </c>
      <c r="G415" s="67">
        <f t="shared" si="52"/>
        <v>3</v>
      </c>
      <c r="H415" s="12" t="s">
        <v>1243</v>
      </c>
      <c r="I415" s="26"/>
      <c r="J415" s="26"/>
      <c r="K415" s="26"/>
      <c r="L415" s="26"/>
      <c r="M415" s="26"/>
      <c r="N415" s="26"/>
      <c r="O415" s="26"/>
      <c r="P415" s="26" t="s">
        <v>83</v>
      </c>
      <c r="Q415" s="26"/>
      <c r="R415" s="26" t="str">
        <f t="shared" si="54"/>
        <v>3. &lt;br&gt;Manufacturer of &lt;font color=blue&gt;${brand_manual}</v>
      </c>
      <c r="S415" s="26" t="s">
        <v>1244</v>
      </c>
      <c r="T415" s="26"/>
      <c r="U415" s="26"/>
      <c r="V415" s="29"/>
      <c r="W415" s="29"/>
      <c r="X415" s="29"/>
      <c r="Y415" s="29"/>
      <c r="Z415" s="29"/>
    </row>
    <row r="416" spans="1:26" ht="15.75" outlineLevel="1" x14ac:dyDescent="0.2">
      <c r="A416" s="8"/>
      <c r="B416" s="29"/>
      <c r="C416" s="125" t="s">
        <v>89</v>
      </c>
      <c r="D416" s="26" t="s">
        <v>1245</v>
      </c>
      <c r="E416" s="67" t="s">
        <v>91</v>
      </c>
      <c r="F416" s="67">
        <v>1</v>
      </c>
      <c r="G416" s="67">
        <f t="shared" si="52"/>
        <v>3</v>
      </c>
      <c r="H416" s="12" t="s">
        <v>1246</v>
      </c>
      <c r="I416" s="26"/>
      <c r="J416" s="26"/>
      <c r="K416" s="26"/>
      <c r="L416" s="26"/>
      <c r="M416" s="26"/>
      <c r="N416" s="26"/>
      <c r="O416" s="26"/>
      <c r="P416" s="26"/>
      <c r="Q416" s="26"/>
      <c r="R416" s="26" t="str">
        <f t="shared" si="54"/>
        <v>active ingredients:</v>
      </c>
      <c r="S416" s="26" t="s">
        <v>1247</v>
      </c>
      <c r="T416" s="26"/>
      <c r="U416" s="26"/>
      <c r="V416" s="29"/>
      <c r="W416" s="29"/>
      <c r="X416" s="29"/>
      <c r="Y416" s="29"/>
      <c r="Z416" s="29"/>
    </row>
    <row r="417" spans="1:26" ht="15.75" hidden="1" outlineLevel="1" x14ac:dyDescent="0.2">
      <c r="A417" s="8"/>
      <c r="B417" s="29"/>
      <c r="C417" s="125" t="s">
        <v>350</v>
      </c>
      <c r="D417" s="26" t="s">
        <v>1248</v>
      </c>
      <c r="E417" s="67" t="s">
        <v>83</v>
      </c>
      <c r="F417" s="67">
        <v>1</v>
      </c>
      <c r="G417" s="67">
        <f t="shared" si="52"/>
        <v>4</v>
      </c>
      <c r="H417" s="12" t="s">
        <v>1249</v>
      </c>
      <c r="I417" s="26" t="s">
        <v>1250</v>
      </c>
      <c r="J417" s="26"/>
      <c r="K417" s="26" t="s">
        <v>1251</v>
      </c>
      <c r="L417" s="26"/>
      <c r="M417" s="26"/>
      <c r="N417" s="26"/>
      <c r="O417" s="26"/>
      <c r="P417" s="26" t="s">
        <v>83</v>
      </c>
      <c r="Q417" s="26"/>
      <c r="R417" s="26" t="str">
        <f t="shared" si="54"/>
        <v>4. &lt;br&gt;How many active ingredients are in &lt;font color=blue&gt;${brand_manual} ?</v>
      </c>
      <c r="S417" s="26" t="s">
        <v>1252</v>
      </c>
      <c r="T417" s="26" t="s">
        <v>1253</v>
      </c>
      <c r="U417" s="26"/>
      <c r="V417" s="29"/>
      <c r="W417" s="29"/>
      <c r="X417" s="29"/>
      <c r="Y417" s="29"/>
      <c r="Z417" s="29"/>
    </row>
    <row r="418" spans="1:26" ht="15.75" outlineLevel="1" x14ac:dyDescent="0.2">
      <c r="A418" s="8"/>
      <c r="B418" s="29"/>
      <c r="C418" s="125" t="s">
        <v>89</v>
      </c>
      <c r="D418" s="26" t="s">
        <v>1254</v>
      </c>
      <c r="E418" s="67" t="s">
        <v>91</v>
      </c>
      <c r="F418" s="67">
        <v>1</v>
      </c>
      <c r="G418" s="67">
        <f t="shared" si="52"/>
        <v>4</v>
      </c>
      <c r="H418" s="12" t="s">
        <v>1255</v>
      </c>
      <c r="I418" s="26"/>
      <c r="J418" s="26"/>
      <c r="K418" s="26"/>
      <c r="L418" s="26" t="s">
        <v>1256</v>
      </c>
      <c r="M418" s="26"/>
      <c r="N418" s="26"/>
      <c r="O418" s="26"/>
      <c r="P418" s="26"/>
      <c r="Q418" s="26"/>
      <c r="R418" s="26" t="str">
        <f t="shared" si="54"/>
        <v>ai1:</v>
      </c>
      <c r="S418" s="26" t="s">
        <v>1257</v>
      </c>
      <c r="T418" s="26"/>
      <c r="U418" s="26"/>
      <c r="V418" s="29"/>
      <c r="W418" s="29"/>
      <c r="X418" s="29"/>
      <c r="Y418" s="29"/>
      <c r="Z418" s="29"/>
    </row>
    <row r="419" spans="1:26" ht="15.75" hidden="1" outlineLevel="1" x14ac:dyDescent="0.2">
      <c r="A419" s="8"/>
      <c r="B419" s="29"/>
      <c r="C419" s="125" t="s">
        <v>1258</v>
      </c>
      <c r="D419" s="26" t="s">
        <v>1259</v>
      </c>
      <c r="E419" s="67" t="s">
        <v>83</v>
      </c>
      <c r="F419" s="67">
        <v>1</v>
      </c>
      <c r="G419" s="67">
        <f t="shared" si="52"/>
        <v>5</v>
      </c>
      <c r="H419" s="12" t="s">
        <v>1260</v>
      </c>
      <c r="I419" s="26"/>
      <c r="J419" s="26"/>
      <c r="K419" s="26"/>
      <c r="L419" s="26"/>
      <c r="M419" s="26"/>
      <c r="N419" s="26"/>
      <c r="O419" s="26"/>
      <c r="P419" s="26" t="s">
        <v>83</v>
      </c>
      <c r="Q419" s="26"/>
      <c r="R419" s="26" t="str">
        <f t="shared" si="54"/>
        <v>5. &lt;br&gt;Active ingredient 1 of &lt;font color=blue&gt;${brand_manual}</v>
      </c>
      <c r="S419" s="26" t="s">
        <v>1261</v>
      </c>
      <c r="T419" s="26"/>
      <c r="U419" s="26"/>
      <c r="V419" s="29"/>
      <c r="W419" s="29"/>
      <c r="X419" s="29"/>
      <c r="Y419" s="29"/>
      <c r="Z419" s="29"/>
    </row>
    <row r="420" spans="1:26" ht="15.75" hidden="1" outlineLevel="1" x14ac:dyDescent="0.2">
      <c r="A420" s="8"/>
      <c r="B420" s="29"/>
      <c r="C420" s="125" t="s">
        <v>109</v>
      </c>
      <c r="D420" s="26" t="s">
        <v>1262</v>
      </c>
      <c r="E420" s="67" t="s">
        <v>91</v>
      </c>
      <c r="F420" s="67">
        <v>1</v>
      </c>
      <c r="G420" s="67">
        <f t="shared" si="52"/>
        <v>5</v>
      </c>
      <c r="H420" s="12"/>
      <c r="I420" s="26"/>
      <c r="J420" s="26"/>
      <c r="K420" s="26"/>
      <c r="L420" s="26"/>
      <c r="M420" s="26" t="s">
        <v>1263</v>
      </c>
      <c r="N420" s="26"/>
      <c r="O420" s="26"/>
      <c r="P420" s="26"/>
      <c r="Q420" s="26"/>
      <c r="R420" s="26"/>
      <c r="S420" s="26"/>
      <c r="T420" s="26"/>
      <c r="U420" s="26"/>
      <c r="V420" s="29"/>
      <c r="W420" s="29"/>
      <c r="X420" s="29"/>
      <c r="Y420" s="29"/>
      <c r="Z420" s="29"/>
    </row>
    <row r="421" spans="1:26" ht="15.75" outlineLevel="1" x14ac:dyDescent="0.2">
      <c r="A421" s="8"/>
      <c r="B421" s="29"/>
      <c r="C421" s="125" t="s">
        <v>89</v>
      </c>
      <c r="D421" s="26" t="s">
        <v>1264</v>
      </c>
      <c r="E421" s="67" t="s">
        <v>91</v>
      </c>
      <c r="F421" s="67">
        <v>1</v>
      </c>
      <c r="G421" s="67">
        <f t="shared" si="52"/>
        <v>5</v>
      </c>
      <c r="H421" s="12"/>
      <c r="I421" s="26"/>
      <c r="J421" s="26"/>
      <c r="K421" s="26"/>
      <c r="L421" s="26"/>
      <c r="M421" s="26"/>
      <c r="N421" s="26" t="s">
        <v>199</v>
      </c>
      <c r="O421" s="26"/>
      <c r="P421" s="26"/>
      <c r="Q421" s="26"/>
      <c r="R421" s="26"/>
      <c r="S421" s="26"/>
      <c r="T421" s="26"/>
      <c r="U421" s="26"/>
      <c r="V421" s="29"/>
      <c r="W421" s="29"/>
      <c r="X421" s="29"/>
      <c r="Y421" s="29"/>
      <c r="Z421" s="29"/>
    </row>
    <row r="422" spans="1:26" ht="63.75" hidden="1" outlineLevel="1" x14ac:dyDescent="0.2">
      <c r="A422" s="8"/>
      <c r="B422" s="29"/>
      <c r="C422" s="125" t="s">
        <v>1265</v>
      </c>
      <c r="D422" s="26" t="s">
        <v>1266</v>
      </c>
      <c r="E422" s="67" t="s">
        <v>83</v>
      </c>
      <c r="F422" s="67">
        <v>1</v>
      </c>
      <c r="G422" s="67">
        <f t="shared" si="52"/>
        <v>6</v>
      </c>
      <c r="H422" s="12" t="s">
        <v>1267</v>
      </c>
      <c r="I422" s="26"/>
      <c r="J422" s="26"/>
      <c r="K422" s="26" t="s">
        <v>1268</v>
      </c>
      <c r="L422" s="26"/>
      <c r="M422" s="26"/>
      <c r="N422" s="26"/>
      <c r="O422" s="26"/>
      <c r="P422" s="26" t="s">
        <v>83</v>
      </c>
      <c r="Q422" s="26"/>
      <c r="R422" s="26" t="str">
        <f t="shared" ref="R422:R423" si="55">IF(E422="no", H422, CONCATENATE(G422,". &lt;br&gt;",H422))</f>
        <v xml:space="preserve">6. &lt;br&gt;Strength of &lt;font color=blue&gt;${ai1_manual_lbl}
&lt;br&gt;
&lt;br&gt;
&lt;font color=black&gt;
mg: </v>
      </c>
      <c r="S422" s="26" t="s">
        <v>1269</v>
      </c>
      <c r="T422" s="26"/>
      <c r="U422" s="26"/>
      <c r="V422" s="29"/>
      <c r="W422" s="29"/>
      <c r="X422" s="29"/>
      <c r="Y422" s="29"/>
      <c r="Z422" s="29"/>
    </row>
    <row r="423" spans="1:26" ht="15.75" hidden="1" outlineLevel="1" x14ac:dyDescent="0.2">
      <c r="A423" s="8"/>
      <c r="B423" s="29"/>
      <c r="C423" s="125" t="s">
        <v>350</v>
      </c>
      <c r="D423" s="26" t="s">
        <v>1270</v>
      </c>
      <c r="E423" s="67" t="s">
        <v>91</v>
      </c>
      <c r="F423" s="67">
        <v>1</v>
      </c>
      <c r="G423" s="67">
        <f t="shared" si="52"/>
        <v>6</v>
      </c>
      <c r="H423" s="12" t="s">
        <v>1271</v>
      </c>
      <c r="I423" s="26"/>
      <c r="J423" s="26"/>
      <c r="K423" s="26" t="s">
        <v>1272</v>
      </c>
      <c r="L423" s="41" t="s">
        <v>1273</v>
      </c>
      <c r="M423" s="26"/>
      <c r="N423" s="26" t="s">
        <v>1274</v>
      </c>
      <c r="O423" s="26"/>
      <c r="P423" s="26" t="s">
        <v>83</v>
      </c>
      <c r="Q423" s="26"/>
      <c r="R423" s="26" t="str">
        <f t="shared" si="55"/>
        <v>&lt;br&gt;&lt;br&gt;mL:</v>
      </c>
      <c r="S423" s="26" t="s">
        <v>1275</v>
      </c>
      <c r="T423" s="26"/>
      <c r="U423" s="26"/>
      <c r="V423" s="29"/>
      <c r="W423" s="29"/>
      <c r="X423" s="29"/>
      <c r="Y423" s="29"/>
      <c r="Z423" s="29"/>
    </row>
    <row r="424" spans="1:26" ht="15.75" hidden="1" outlineLevel="1" x14ac:dyDescent="0.2">
      <c r="A424" s="8"/>
      <c r="B424" s="29"/>
      <c r="C424" s="125" t="s">
        <v>109</v>
      </c>
      <c r="D424" s="26" t="s">
        <v>1276</v>
      </c>
      <c r="E424" s="67" t="s">
        <v>91</v>
      </c>
      <c r="F424" s="67">
        <v>1</v>
      </c>
      <c r="G424" s="67">
        <f t="shared" si="52"/>
        <v>6</v>
      </c>
      <c r="H424" s="12"/>
      <c r="I424" s="26"/>
      <c r="J424" s="26"/>
      <c r="K424" s="26"/>
      <c r="L424" s="26"/>
      <c r="M424" s="26" t="s">
        <v>1277</v>
      </c>
      <c r="N424" s="26"/>
      <c r="O424" s="26"/>
      <c r="P424" s="26"/>
      <c r="Q424" s="26"/>
      <c r="R424" s="26"/>
      <c r="S424" s="26"/>
      <c r="T424" s="26"/>
      <c r="U424" s="26"/>
      <c r="V424" s="29"/>
      <c r="W424" s="29"/>
      <c r="X424" s="29"/>
      <c r="Y424" s="29"/>
      <c r="Z424" s="29"/>
    </row>
    <row r="425" spans="1:26" ht="15.75" hidden="1" outlineLevel="1" x14ac:dyDescent="0.2">
      <c r="A425" s="8"/>
      <c r="B425" s="29"/>
      <c r="C425" s="125" t="s">
        <v>174</v>
      </c>
      <c r="D425" s="26" t="s">
        <v>1264</v>
      </c>
      <c r="E425" s="67" t="s">
        <v>91</v>
      </c>
      <c r="F425" s="67">
        <v>1</v>
      </c>
      <c r="G425" s="67">
        <f t="shared" si="52"/>
        <v>6</v>
      </c>
      <c r="H425" s="12"/>
      <c r="I425" s="26"/>
      <c r="J425" s="26"/>
      <c r="K425" s="26"/>
      <c r="L425" s="26"/>
      <c r="M425" s="26"/>
      <c r="N425" s="26" t="s">
        <v>199</v>
      </c>
      <c r="O425" s="26"/>
      <c r="P425" s="26"/>
      <c r="Q425" s="26"/>
      <c r="R425" s="26"/>
      <c r="S425" s="26"/>
      <c r="T425" s="26"/>
      <c r="U425" s="26"/>
      <c r="V425" s="29"/>
      <c r="W425" s="29"/>
      <c r="X425" s="29"/>
      <c r="Y425" s="29"/>
      <c r="Z425" s="29"/>
    </row>
    <row r="426" spans="1:26" ht="25.5" hidden="1" outlineLevel="1" x14ac:dyDescent="0.2">
      <c r="A426" s="8"/>
      <c r="B426" s="29"/>
      <c r="C426" s="125" t="s">
        <v>76</v>
      </c>
      <c r="D426" s="26" t="s">
        <v>1278</v>
      </c>
      <c r="E426" s="67" t="s">
        <v>91</v>
      </c>
      <c r="F426" s="67">
        <v>1</v>
      </c>
      <c r="G426" s="67">
        <f t="shared" si="52"/>
        <v>6</v>
      </c>
      <c r="H426" s="12" t="s">
        <v>1279</v>
      </c>
      <c r="I426" s="26"/>
      <c r="J426" s="26"/>
      <c r="K426" s="26"/>
      <c r="L426" s="26" t="s">
        <v>1280</v>
      </c>
      <c r="M426" s="26"/>
      <c r="N426" s="26"/>
      <c r="O426" s="26"/>
      <c r="P426" s="26"/>
      <c r="Q426" s="26"/>
      <c r="R426" s="26" t="str">
        <f t="shared" ref="R426:R427" si="56">IF(E426="no", H426, CONCATENATE(G426,". &lt;br&gt;",H426))</f>
        <v>&lt;font color=red&gt;&lt;b&gt;Interviewer: &lt;/b&gt;
&lt;i&gt;Confirm &lt;font color=blue&gt;${ai1_mg_manual}&lt;/font&gt; is the correct strength&lt;/i&gt;</v>
      </c>
      <c r="S426" s="26" t="s">
        <v>1281</v>
      </c>
      <c r="T426" s="26"/>
      <c r="U426" s="26"/>
      <c r="V426" s="29"/>
      <c r="W426" s="29"/>
      <c r="X426" s="29"/>
      <c r="Y426" s="29"/>
      <c r="Z426" s="29"/>
    </row>
    <row r="427" spans="1:26" ht="25.5" hidden="1" outlineLevel="1" x14ac:dyDescent="0.2">
      <c r="A427" s="8"/>
      <c r="B427" s="29"/>
      <c r="C427" s="125" t="s">
        <v>76</v>
      </c>
      <c r="D427" s="26" t="s">
        <v>1282</v>
      </c>
      <c r="E427" s="67" t="s">
        <v>91</v>
      </c>
      <c r="F427" s="67">
        <v>1</v>
      </c>
      <c r="G427" s="67">
        <f t="shared" si="52"/>
        <v>6</v>
      </c>
      <c r="H427" s="12" t="s">
        <v>1283</v>
      </c>
      <c r="I427" s="26"/>
      <c r="J427" s="26"/>
      <c r="K427" s="26"/>
      <c r="L427" s="26" t="s">
        <v>1284</v>
      </c>
      <c r="M427" s="26"/>
      <c r="N427" s="26"/>
      <c r="O427" s="26"/>
      <c r="P427" s="26"/>
      <c r="Q427" s="26"/>
      <c r="R427" s="26" t="str">
        <f t="shared" si="56"/>
        <v>&lt;font color=red&gt;&lt;b&gt;Interviewer: &lt;/b&gt;
&lt;i&gt;Confirm &lt;font color=blue&gt;${ai1_ml_manual}&lt;/font&gt; is the correct strength&lt;/i&gt;</v>
      </c>
      <c r="S427" s="26" t="s">
        <v>1285</v>
      </c>
      <c r="T427" s="26"/>
      <c r="U427" s="26"/>
      <c r="V427" s="29"/>
      <c r="W427" s="29"/>
      <c r="X427" s="29"/>
      <c r="Y427" s="29"/>
      <c r="Z427" s="29"/>
    </row>
    <row r="428" spans="1:26" ht="15.75" hidden="1" outlineLevel="1" x14ac:dyDescent="0.2">
      <c r="A428" s="8"/>
      <c r="B428" s="29"/>
      <c r="C428" s="125" t="s">
        <v>174</v>
      </c>
      <c r="D428" s="26" t="s">
        <v>1254</v>
      </c>
      <c r="E428" s="67" t="s">
        <v>91</v>
      </c>
      <c r="F428" s="67">
        <v>1</v>
      </c>
      <c r="G428" s="67">
        <f t="shared" si="52"/>
        <v>6</v>
      </c>
      <c r="H428" s="12"/>
      <c r="I428" s="26"/>
      <c r="J428" s="26"/>
      <c r="K428" s="26"/>
      <c r="L428" s="26"/>
      <c r="M428" s="26"/>
      <c r="N428" s="26"/>
      <c r="O428" s="26"/>
      <c r="P428" s="26"/>
      <c r="Q428" s="26"/>
      <c r="R428" s="26"/>
      <c r="S428" s="26"/>
      <c r="T428" s="26"/>
      <c r="U428" s="26"/>
      <c r="V428" s="29"/>
      <c r="W428" s="29"/>
      <c r="X428" s="29"/>
      <c r="Y428" s="29"/>
      <c r="Z428" s="29"/>
    </row>
    <row r="429" spans="1:26" ht="15.75" outlineLevel="1" x14ac:dyDescent="0.2">
      <c r="A429" s="8"/>
      <c r="B429" s="29"/>
      <c r="C429" s="125" t="s">
        <v>89</v>
      </c>
      <c r="D429" s="26" t="s">
        <v>1286</v>
      </c>
      <c r="E429" s="67" t="s">
        <v>91</v>
      </c>
      <c r="F429" s="67">
        <v>1</v>
      </c>
      <c r="G429" s="67">
        <f t="shared" si="52"/>
        <v>6</v>
      </c>
      <c r="H429" s="12" t="s">
        <v>1287</v>
      </c>
      <c r="I429" s="26"/>
      <c r="J429" s="26"/>
      <c r="K429" s="26"/>
      <c r="L429" s="26" t="s">
        <v>1288</v>
      </c>
      <c r="M429" s="26"/>
      <c r="N429" s="26"/>
      <c r="O429" s="26"/>
      <c r="P429" s="26"/>
      <c r="Q429" s="26"/>
      <c r="R429" s="26" t="str">
        <f t="shared" ref="R429:R430" si="57">IF(E429="no", H429, CONCATENATE(G429,". &lt;br&gt;",H429))</f>
        <v>ai2:</v>
      </c>
      <c r="S429" s="26" t="s">
        <v>1287</v>
      </c>
      <c r="T429" s="26"/>
      <c r="U429" s="26"/>
      <c r="V429" s="29"/>
      <c r="W429" s="29"/>
      <c r="X429" s="29"/>
      <c r="Y429" s="29"/>
      <c r="Z429" s="29"/>
    </row>
    <row r="430" spans="1:26" ht="51" hidden="1" outlineLevel="1" x14ac:dyDescent="0.2">
      <c r="A430" s="8"/>
      <c r="B430" s="29"/>
      <c r="C430" s="125" t="s">
        <v>1258</v>
      </c>
      <c r="D430" s="26" t="s">
        <v>1289</v>
      </c>
      <c r="E430" s="67" t="s">
        <v>83</v>
      </c>
      <c r="F430" s="67">
        <v>1</v>
      </c>
      <c r="G430" s="67">
        <f t="shared" si="52"/>
        <v>7</v>
      </c>
      <c r="H430" s="12" t="s">
        <v>1290</v>
      </c>
      <c r="I430" s="26"/>
      <c r="J430" s="26"/>
      <c r="K430" s="26"/>
      <c r="L430" s="26"/>
      <c r="M430" s="26"/>
      <c r="N430" s="26"/>
      <c r="O430" s="26"/>
      <c r="P430" s="26" t="s">
        <v>83</v>
      </c>
      <c r="Q430" s="26"/>
      <c r="R430" s="26" t="str">
        <f t="shared" si="57"/>
        <v>7. &lt;br&gt;Active ingredient 2 of &lt;font color=blue&gt;${brand_manual}
&lt;br&gt;
&lt;br&gt;
&lt;font color=black&gt;</v>
      </c>
      <c r="S430" s="26" t="s">
        <v>1291</v>
      </c>
      <c r="T430" s="26"/>
      <c r="U430" s="26"/>
      <c r="V430" s="29"/>
      <c r="W430" s="29"/>
      <c r="X430" s="29"/>
      <c r="Y430" s="29"/>
      <c r="Z430" s="29"/>
    </row>
    <row r="431" spans="1:26" ht="15.75" hidden="1" outlineLevel="1" x14ac:dyDescent="0.2">
      <c r="A431" s="8"/>
      <c r="B431" s="29"/>
      <c r="C431" s="125" t="s">
        <v>109</v>
      </c>
      <c r="D431" s="26" t="s">
        <v>1292</v>
      </c>
      <c r="E431" s="67" t="s">
        <v>91</v>
      </c>
      <c r="F431" s="67">
        <v>1</v>
      </c>
      <c r="G431" s="67">
        <f t="shared" si="52"/>
        <v>7</v>
      </c>
      <c r="H431" s="12"/>
      <c r="I431" s="26"/>
      <c r="J431" s="26"/>
      <c r="K431" s="26"/>
      <c r="L431" s="26"/>
      <c r="M431" s="26" t="s">
        <v>1293</v>
      </c>
      <c r="N431" s="26"/>
      <c r="O431" s="26"/>
      <c r="P431" s="26"/>
      <c r="Q431" s="26"/>
      <c r="R431" s="26"/>
      <c r="S431" s="26"/>
      <c r="T431" s="26"/>
      <c r="U431" s="26"/>
      <c r="V431" s="29"/>
      <c r="W431" s="29"/>
      <c r="X431" s="29"/>
      <c r="Y431" s="29"/>
      <c r="Z431" s="29"/>
    </row>
    <row r="432" spans="1:26" ht="15.75" outlineLevel="1" x14ac:dyDescent="0.2">
      <c r="A432" s="8"/>
      <c r="B432" s="29"/>
      <c r="C432" s="125" t="s">
        <v>89</v>
      </c>
      <c r="D432" s="26" t="s">
        <v>1294</v>
      </c>
      <c r="E432" s="67" t="s">
        <v>91</v>
      </c>
      <c r="F432" s="67">
        <v>1</v>
      </c>
      <c r="G432" s="67">
        <f t="shared" si="52"/>
        <v>7</v>
      </c>
      <c r="H432" s="12"/>
      <c r="I432" s="26"/>
      <c r="J432" s="26"/>
      <c r="K432" s="26"/>
      <c r="L432" s="26"/>
      <c r="M432" s="26"/>
      <c r="N432" s="26" t="s">
        <v>199</v>
      </c>
      <c r="O432" s="26"/>
      <c r="P432" s="26"/>
      <c r="Q432" s="26"/>
      <c r="R432" s="26"/>
      <c r="S432" s="26"/>
      <c r="T432" s="26"/>
      <c r="U432" s="26"/>
      <c r="V432" s="29"/>
      <c r="W432" s="29"/>
      <c r="X432" s="29"/>
      <c r="Y432" s="29"/>
      <c r="Z432" s="29"/>
    </row>
    <row r="433" spans="1:26" ht="63.75" hidden="1" outlineLevel="1" x14ac:dyDescent="0.2">
      <c r="A433" s="8"/>
      <c r="B433" s="29"/>
      <c r="C433" s="125" t="s">
        <v>1265</v>
      </c>
      <c r="D433" s="26" t="s">
        <v>1295</v>
      </c>
      <c r="E433" s="67" t="s">
        <v>83</v>
      </c>
      <c r="F433" s="67">
        <v>1</v>
      </c>
      <c r="G433" s="67">
        <f t="shared" si="52"/>
        <v>8</v>
      </c>
      <c r="H433" s="12" t="s">
        <v>1296</v>
      </c>
      <c r="I433" s="26"/>
      <c r="J433" s="26"/>
      <c r="K433" s="26" t="s">
        <v>1268</v>
      </c>
      <c r="L433" s="26"/>
      <c r="M433" s="26"/>
      <c r="N433" s="26"/>
      <c r="O433" s="26"/>
      <c r="P433" s="26" t="s">
        <v>83</v>
      </c>
      <c r="Q433" s="26"/>
      <c r="R433" s="26" t="str">
        <f t="shared" ref="R433:R434" si="58">IF(E433="no", H433, CONCATENATE(G433,". &lt;br&gt;",H433))</f>
        <v>8. &lt;br&gt;Strength of &lt;font color=blue&gt;${ai2_manual_lbl}
&lt;br&gt;
&lt;br&gt;
&lt;font color=black&gt;
mg:</v>
      </c>
      <c r="S433" s="26" t="s">
        <v>1297</v>
      </c>
      <c r="T433" s="26"/>
      <c r="U433" s="26"/>
      <c r="V433" s="29"/>
      <c r="W433" s="29"/>
      <c r="X433" s="29"/>
      <c r="Y433" s="29"/>
      <c r="Z433" s="29"/>
    </row>
    <row r="434" spans="1:26" ht="15.75" hidden="1" outlineLevel="1" x14ac:dyDescent="0.2">
      <c r="A434" s="8"/>
      <c r="B434" s="29"/>
      <c r="C434" s="125" t="s">
        <v>350</v>
      </c>
      <c r="D434" s="26" t="s">
        <v>1298</v>
      </c>
      <c r="E434" s="67" t="s">
        <v>91</v>
      </c>
      <c r="F434" s="67">
        <v>1</v>
      </c>
      <c r="G434" s="67">
        <f t="shared" si="52"/>
        <v>8</v>
      </c>
      <c r="H434" s="12" t="s">
        <v>1271</v>
      </c>
      <c r="I434" s="26"/>
      <c r="J434" s="26"/>
      <c r="K434" s="26" t="s">
        <v>1272</v>
      </c>
      <c r="L434" s="26" t="s">
        <v>1273</v>
      </c>
      <c r="M434" s="26"/>
      <c r="N434" s="26" t="s">
        <v>1274</v>
      </c>
      <c r="O434" s="26"/>
      <c r="P434" s="26" t="s">
        <v>83</v>
      </c>
      <c r="Q434" s="26"/>
      <c r="R434" s="26" t="str">
        <f t="shared" si="58"/>
        <v>&lt;br&gt;&lt;br&gt;mL:</v>
      </c>
      <c r="S434" s="26" t="s">
        <v>1275</v>
      </c>
      <c r="T434" s="26"/>
      <c r="U434" s="26"/>
      <c r="V434" s="29"/>
      <c r="W434" s="29"/>
      <c r="X434" s="29"/>
      <c r="Y434" s="29"/>
      <c r="Z434" s="29"/>
    </row>
    <row r="435" spans="1:26" ht="15.75" hidden="1" outlineLevel="1" x14ac:dyDescent="0.2">
      <c r="A435" s="8"/>
      <c r="B435" s="29"/>
      <c r="C435" s="125" t="s">
        <v>109</v>
      </c>
      <c r="D435" s="26" t="s">
        <v>1299</v>
      </c>
      <c r="E435" s="67" t="s">
        <v>91</v>
      </c>
      <c r="F435" s="67">
        <v>1</v>
      </c>
      <c r="G435" s="67">
        <f t="shared" si="52"/>
        <v>8</v>
      </c>
      <c r="H435" s="12"/>
      <c r="I435" s="26"/>
      <c r="J435" s="26"/>
      <c r="K435" s="26"/>
      <c r="L435" s="26"/>
      <c r="M435" s="26" t="s">
        <v>1300</v>
      </c>
      <c r="N435" s="26"/>
      <c r="O435" s="26"/>
      <c r="P435" s="26"/>
      <c r="Q435" s="26"/>
      <c r="R435" s="26"/>
      <c r="S435" s="26"/>
      <c r="T435" s="26"/>
      <c r="U435" s="26"/>
      <c r="V435" s="29"/>
      <c r="W435" s="29"/>
      <c r="X435" s="29"/>
      <c r="Y435" s="29"/>
      <c r="Z435" s="29"/>
    </row>
    <row r="436" spans="1:26" ht="15.75" hidden="1" outlineLevel="1" x14ac:dyDescent="0.2">
      <c r="A436" s="8"/>
      <c r="B436" s="29"/>
      <c r="C436" s="125" t="s">
        <v>174</v>
      </c>
      <c r="D436" s="26" t="s">
        <v>1294</v>
      </c>
      <c r="E436" s="67" t="s">
        <v>91</v>
      </c>
      <c r="F436" s="67">
        <v>1</v>
      </c>
      <c r="G436" s="67">
        <f t="shared" si="52"/>
        <v>8</v>
      </c>
      <c r="H436" s="12"/>
      <c r="I436" s="26"/>
      <c r="J436" s="26"/>
      <c r="K436" s="26"/>
      <c r="L436" s="26"/>
      <c r="M436" s="26"/>
      <c r="N436" s="26" t="s">
        <v>199</v>
      </c>
      <c r="O436" s="26"/>
      <c r="P436" s="26"/>
      <c r="Q436" s="26"/>
      <c r="R436" s="26"/>
      <c r="S436" s="26"/>
      <c r="T436" s="26"/>
      <c r="U436" s="26"/>
      <c r="V436" s="29"/>
      <c r="W436" s="29"/>
      <c r="X436" s="29"/>
      <c r="Y436" s="29"/>
      <c r="Z436" s="29"/>
    </row>
    <row r="437" spans="1:26" ht="25.5" hidden="1" outlineLevel="1" x14ac:dyDescent="0.2">
      <c r="A437" s="8"/>
      <c r="B437" s="29"/>
      <c r="C437" s="125" t="s">
        <v>76</v>
      </c>
      <c r="D437" s="26" t="s">
        <v>1301</v>
      </c>
      <c r="E437" s="67" t="s">
        <v>91</v>
      </c>
      <c r="F437" s="67">
        <v>1</v>
      </c>
      <c r="G437" s="67">
        <f t="shared" si="52"/>
        <v>8</v>
      </c>
      <c r="H437" s="12" t="s">
        <v>1302</v>
      </c>
      <c r="I437" s="26"/>
      <c r="J437" s="26"/>
      <c r="K437" s="26"/>
      <c r="L437" s="26" t="s">
        <v>1303</v>
      </c>
      <c r="M437" s="26"/>
      <c r="N437" s="26"/>
      <c r="O437" s="26"/>
      <c r="P437" s="26"/>
      <c r="Q437" s="26"/>
      <c r="R437" s="26" t="str">
        <f t="shared" ref="R437:R438" si="59">IF(E437="no", H437, CONCATENATE(G437,". &lt;br&gt;",H437))</f>
        <v>&lt;font color=red&gt;&lt;b&gt;Interviewer: &lt;/b&gt;
&lt;i&gt;Confirm &lt;font color=blue&gt;${ai2_mg_manual}&lt;/font&gt; is the correct strength&lt;/i&gt;</v>
      </c>
      <c r="S437" s="26" t="s">
        <v>1304</v>
      </c>
      <c r="T437" s="26"/>
      <c r="U437" s="26"/>
      <c r="V437" s="29"/>
      <c r="W437" s="29"/>
      <c r="X437" s="29"/>
      <c r="Y437" s="29"/>
      <c r="Z437" s="29"/>
    </row>
    <row r="438" spans="1:26" ht="25.5" hidden="1" outlineLevel="1" x14ac:dyDescent="0.2">
      <c r="A438" s="8"/>
      <c r="B438" s="29"/>
      <c r="C438" s="125" t="s">
        <v>76</v>
      </c>
      <c r="D438" s="26" t="s">
        <v>1305</v>
      </c>
      <c r="E438" s="67" t="s">
        <v>91</v>
      </c>
      <c r="F438" s="67">
        <v>1</v>
      </c>
      <c r="G438" s="67">
        <f t="shared" si="52"/>
        <v>8</v>
      </c>
      <c r="H438" s="12" t="s">
        <v>1306</v>
      </c>
      <c r="I438" s="26"/>
      <c r="J438" s="26"/>
      <c r="K438" s="26"/>
      <c r="L438" s="26" t="s">
        <v>1307</v>
      </c>
      <c r="M438" s="26"/>
      <c r="N438" s="26"/>
      <c r="O438" s="26"/>
      <c r="P438" s="26"/>
      <c r="Q438" s="26"/>
      <c r="R438" s="26" t="str">
        <f t="shared" si="59"/>
        <v>&lt;font color=red&gt;&lt;b&gt;Interviewer: &lt;/b&gt;
&lt;i&gt;Confirm &lt;font color=blue&gt;${ai2_ml_manual}&lt;/font&gt; is the correct strength&lt;/i&gt;</v>
      </c>
      <c r="S438" s="26" t="s">
        <v>1308</v>
      </c>
      <c r="T438" s="26"/>
      <c r="U438" s="26"/>
      <c r="V438" s="29"/>
      <c r="W438" s="29"/>
      <c r="X438" s="29"/>
      <c r="Y438" s="29"/>
      <c r="Z438" s="29"/>
    </row>
    <row r="439" spans="1:26" ht="15.75" hidden="1" outlineLevel="1" x14ac:dyDescent="0.2">
      <c r="A439" s="8"/>
      <c r="B439" s="29"/>
      <c r="C439" s="125" t="s">
        <v>174</v>
      </c>
      <c r="D439" s="26" t="s">
        <v>1286</v>
      </c>
      <c r="E439" s="67" t="s">
        <v>91</v>
      </c>
      <c r="F439" s="67">
        <v>1</v>
      </c>
      <c r="G439" s="67">
        <f t="shared" si="52"/>
        <v>8</v>
      </c>
      <c r="H439" s="12"/>
      <c r="I439" s="26"/>
      <c r="J439" s="26"/>
      <c r="K439" s="26"/>
      <c r="L439" s="26"/>
      <c r="M439" s="26"/>
      <c r="N439" s="26"/>
      <c r="O439" s="26"/>
      <c r="P439" s="26"/>
      <c r="Q439" s="26"/>
      <c r="R439" s="26"/>
      <c r="S439" s="26"/>
      <c r="T439" s="26"/>
      <c r="U439" s="26"/>
      <c r="V439" s="29"/>
      <c r="W439" s="29"/>
      <c r="X439" s="29"/>
      <c r="Y439" s="29"/>
      <c r="Z439" s="29"/>
    </row>
    <row r="440" spans="1:26" ht="15.75" outlineLevel="1" x14ac:dyDescent="0.2">
      <c r="A440" s="8"/>
      <c r="B440" s="29"/>
      <c r="C440" s="125" t="s">
        <v>89</v>
      </c>
      <c r="D440" s="26" t="s">
        <v>1309</v>
      </c>
      <c r="E440" s="67" t="s">
        <v>91</v>
      </c>
      <c r="F440" s="67">
        <v>1</v>
      </c>
      <c r="G440" s="67">
        <f t="shared" si="52"/>
        <v>8</v>
      </c>
      <c r="H440" s="12" t="s">
        <v>1310</v>
      </c>
      <c r="I440" s="26"/>
      <c r="J440" s="26"/>
      <c r="K440" s="26"/>
      <c r="L440" s="26" t="s">
        <v>1311</v>
      </c>
      <c r="M440" s="26"/>
      <c r="N440" s="26"/>
      <c r="O440" s="26"/>
      <c r="P440" s="26"/>
      <c r="Q440" s="26"/>
      <c r="R440" s="26" t="str">
        <f t="shared" ref="R440:R441" si="60">IF(E440="no", H440, CONCATENATE(G440,". &lt;br&gt;",H440))</f>
        <v>ai3:</v>
      </c>
      <c r="S440" s="26" t="s">
        <v>1312</v>
      </c>
      <c r="T440" s="26"/>
      <c r="U440" s="26"/>
      <c r="V440" s="29"/>
      <c r="W440" s="29"/>
      <c r="X440" s="29"/>
      <c r="Y440" s="29"/>
      <c r="Z440" s="29"/>
    </row>
    <row r="441" spans="1:26" ht="15.75" hidden="1" outlineLevel="1" x14ac:dyDescent="0.2">
      <c r="A441" s="8"/>
      <c r="B441" s="29"/>
      <c r="C441" s="125" t="s">
        <v>1258</v>
      </c>
      <c r="D441" s="26" t="s">
        <v>1313</v>
      </c>
      <c r="E441" s="67" t="s">
        <v>83</v>
      </c>
      <c r="F441" s="67">
        <v>1</v>
      </c>
      <c r="G441" s="67">
        <f t="shared" si="52"/>
        <v>9</v>
      </c>
      <c r="H441" s="12" t="s">
        <v>1314</v>
      </c>
      <c r="I441" s="26"/>
      <c r="J441" s="26"/>
      <c r="K441" s="26"/>
      <c r="L441" s="26"/>
      <c r="M441" s="26"/>
      <c r="N441" s="26"/>
      <c r="O441" s="26"/>
      <c r="P441" s="26" t="s">
        <v>83</v>
      </c>
      <c r="Q441" s="26"/>
      <c r="R441" s="26" t="str">
        <f t="shared" si="60"/>
        <v>9. &lt;br&gt;Active ingredient 3 of &lt;font color=blue&gt;${brand_manual}</v>
      </c>
      <c r="S441" s="26" t="s">
        <v>1315</v>
      </c>
      <c r="T441" s="26"/>
      <c r="U441" s="26"/>
      <c r="V441" s="29"/>
      <c r="W441" s="29"/>
      <c r="X441" s="29"/>
      <c r="Y441" s="29"/>
      <c r="Z441" s="29"/>
    </row>
    <row r="442" spans="1:26" ht="15.75" hidden="1" outlineLevel="1" x14ac:dyDescent="0.2">
      <c r="A442" s="8"/>
      <c r="B442" s="29"/>
      <c r="C442" s="125" t="s">
        <v>109</v>
      </c>
      <c r="D442" s="26" t="s">
        <v>1316</v>
      </c>
      <c r="E442" s="67" t="s">
        <v>91</v>
      </c>
      <c r="F442" s="67">
        <v>1</v>
      </c>
      <c r="G442" s="67">
        <f t="shared" si="52"/>
        <v>9</v>
      </c>
      <c r="H442" s="12"/>
      <c r="I442" s="26"/>
      <c r="J442" s="26"/>
      <c r="K442" s="26"/>
      <c r="L442" s="26"/>
      <c r="M442" s="26" t="s">
        <v>1317</v>
      </c>
      <c r="N442" s="26"/>
      <c r="O442" s="26"/>
      <c r="P442" s="26"/>
      <c r="Q442" s="26"/>
      <c r="R442" s="26"/>
      <c r="S442" s="26"/>
      <c r="T442" s="26"/>
      <c r="U442" s="26"/>
      <c r="V442" s="29"/>
      <c r="W442" s="29"/>
      <c r="X442" s="29"/>
      <c r="Y442" s="29"/>
      <c r="Z442" s="29"/>
    </row>
    <row r="443" spans="1:26" ht="15.75" outlineLevel="1" x14ac:dyDescent="0.2">
      <c r="A443" s="8"/>
      <c r="B443" s="29"/>
      <c r="C443" s="125" t="s">
        <v>89</v>
      </c>
      <c r="D443" s="26" t="s">
        <v>1318</v>
      </c>
      <c r="E443" s="67" t="s">
        <v>91</v>
      </c>
      <c r="F443" s="67">
        <v>1</v>
      </c>
      <c r="G443" s="67">
        <f t="shared" si="52"/>
        <v>9</v>
      </c>
      <c r="H443" s="12"/>
      <c r="I443" s="26"/>
      <c r="J443" s="26"/>
      <c r="K443" s="26"/>
      <c r="L443" s="26"/>
      <c r="M443" s="26"/>
      <c r="N443" s="26" t="s">
        <v>199</v>
      </c>
      <c r="O443" s="26"/>
      <c r="P443" s="26"/>
      <c r="Q443" s="26"/>
      <c r="R443" s="26"/>
      <c r="S443" s="26"/>
      <c r="T443" s="26"/>
      <c r="U443" s="26"/>
      <c r="V443" s="29"/>
      <c r="W443" s="29"/>
      <c r="X443" s="29"/>
      <c r="Y443" s="29"/>
      <c r="Z443" s="29"/>
    </row>
    <row r="444" spans="1:26" ht="63.75" hidden="1" outlineLevel="1" x14ac:dyDescent="0.2">
      <c r="A444" s="8"/>
      <c r="B444" s="29"/>
      <c r="C444" s="125" t="s">
        <v>1265</v>
      </c>
      <c r="D444" s="26" t="s">
        <v>1319</v>
      </c>
      <c r="E444" s="67" t="s">
        <v>83</v>
      </c>
      <c r="F444" s="67">
        <v>1</v>
      </c>
      <c r="G444" s="67">
        <f t="shared" si="52"/>
        <v>10</v>
      </c>
      <c r="H444" s="12" t="s">
        <v>1320</v>
      </c>
      <c r="I444" s="26"/>
      <c r="J444" s="26"/>
      <c r="K444" s="26" t="s">
        <v>1268</v>
      </c>
      <c r="L444" s="26"/>
      <c r="M444" s="26"/>
      <c r="N444" s="26"/>
      <c r="O444" s="26"/>
      <c r="P444" s="26" t="s">
        <v>83</v>
      </c>
      <c r="Q444" s="26"/>
      <c r="R444" s="26" t="str">
        <f t="shared" ref="R444:R445" si="61">IF(E444="no", H444, CONCATENATE(G444,". &lt;br&gt;",H444))</f>
        <v>10. &lt;br&gt;Strength of &lt;font color=blue&gt;${ai3_manual_lbl}
&lt;br&gt;
&lt;br&gt;
&lt;font color=black&gt;
mg:</v>
      </c>
      <c r="S444" s="26" t="s">
        <v>1321</v>
      </c>
      <c r="T444" s="26"/>
      <c r="U444" s="26"/>
      <c r="V444" s="29"/>
      <c r="W444" s="29"/>
      <c r="X444" s="29"/>
      <c r="Y444" s="29"/>
      <c r="Z444" s="29"/>
    </row>
    <row r="445" spans="1:26" ht="15.75" hidden="1" outlineLevel="1" x14ac:dyDescent="0.2">
      <c r="A445" s="8"/>
      <c r="B445" s="29"/>
      <c r="C445" s="125" t="s">
        <v>350</v>
      </c>
      <c r="D445" s="26" t="s">
        <v>1322</v>
      </c>
      <c r="E445" s="67" t="s">
        <v>91</v>
      </c>
      <c r="F445" s="67">
        <v>1</v>
      </c>
      <c r="G445" s="67">
        <f t="shared" si="52"/>
        <v>10</v>
      </c>
      <c r="H445" s="12" t="s">
        <v>1271</v>
      </c>
      <c r="I445" s="26"/>
      <c r="J445" s="26"/>
      <c r="K445" s="26" t="s">
        <v>1272</v>
      </c>
      <c r="L445" s="26" t="s">
        <v>1273</v>
      </c>
      <c r="M445" s="26"/>
      <c r="N445" s="26" t="s">
        <v>1274</v>
      </c>
      <c r="O445" s="26"/>
      <c r="P445" s="26" t="s">
        <v>83</v>
      </c>
      <c r="Q445" s="26"/>
      <c r="R445" s="26" t="str">
        <f t="shared" si="61"/>
        <v>&lt;br&gt;&lt;br&gt;mL:</v>
      </c>
      <c r="S445" s="26" t="s">
        <v>1271</v>
      </c>
      <c r="T445" s="26"/>
      <c r="U445" s="26"/>
      <c r="V445" s="29"/>
      <c r="W445" s="29"/>
      <c r="X445" s="29"/>
      <c r="Y445" s="29"/>
      <c r="Z445" s="29"/>
    </row>
    <row r="446" spans="1:26" ht="15.75" hidden="1" outlineLevel="1" x14ac:dyDescent="0.2">
      <c r="A446" s="8"/>
      <c r="B446" s="29"/>
      <c r="C446" s="125" t="s">
        <v>109</v>
      </c>
      <c r="D446" s="26" t="s">
        <v>1323</v>
      </c>
      <c r="E446" s="67" t="s">
        <v>91</v>
      </c>
      <c r="F446" s="67">
        <v>1</v>
      </c>
      <c r="G446" s="67">
        <f t="shared" si="52"/>
        <v>10</v>
      </c>
      <c r="H446" s="12"/>
      <c r="I446" s="26"/>
      <c r="J446" s="26"/>
      <c r="K446" s="26"/>
      <c r="L446" s="26"/>
      <c r="M446" s="26" t="s">
        <v>1324</v>
      </c>
      <c r="N446" s="26"/>
      <c r="O446" s="26"/>
      <c r="P446" s="26"/>
      <c r="Q446" s="26"/>
      <c r="R446" s="26"/>
      <c r="S446" s="26"/>
      <c r="T446" s="26"/>
      <c r="U446" s="26"/>
      <c r="V446" s="29"/>
      <c r="W446" s="29"/>
      <c r="X446" s="29"/>
      <c r="Y446" s="29"/>
      <c r="Z446" s="29"/>
    </row>
    <row r="447" spans="1:26" ht="15.75" hidden="1" outlineLevel="1" x14ac:dyDescent="0.2">
      <c r="A447" s="8"/>
      <c r="B447" s="29"/>
      <c r="C447" s="125" t="s">
        <v>174</v>
      </c>
      <c r="D447" s="26" t="s">
        <v>1318</v>
      </c>
      <c r="E447" s="67" t="s">
        <v>91</v>
      </c>
      <c r="F447" s="67">
        <v>1</v>
      </c>
      <c r="G447" s="67">
        <f t="shared" si="52"/>
        <v>10</v>
      </c>
      <c r="H447" s="12"/>
      <c r="I447" s="26"/>
      <c r="J447" s="26"/>
      <c r="K447" s="26"/>
      <c r="L447" s="26"/>
      <c r="M447" s="26"/>
      <c r="N447" s="26" t="s">
        <v>199</v>
      </c>
      <c r="O447" s="26"/>
      <c r="P447" s="26"/>
      <c r="Q447" s="26"/>
      <c r="R447" s="26"/>
      <c r="S447" s="26"/>
      <c r="T447" s="26"/>
      <c r="U447" s="26"/>
      <c r="V447" s="29"/>
      <c r="W447" s="29"/>
      <c r="X447" s="29"/>
      <c r="Y447" s="29"/>
      <c r="Z447" s="29"/>
    </row>
    <row r="448" spans="1:26" ht="25.5" hidden="1" outlineLevel="1" x14ac:dyDescent="0.2">
      <c r="A448" s="8"/>
      <c r="B448" s="29"/>
      <c r="C448" s="125" t="s">
        <v>76</v>
      </c>
      <c r="D448" s="26" t="s">
        <v>1325</v>
      </c>
      <c r="E448" s="67" t="s">
        <v>91</v>
      </c>
      <c r="F448" s="67">
        <v>1</v>
      </c>
      <c r="G448" s="67">
        <f t="shared" si="52"/>
        <v>10</v>
      </c>
      <c r="H448" s="12" t="s">
        <v>1326</v>
      </c>
      <c r="I448" s="26"/>
      <c r="J448" s="26"/>
      <c r="K448" s="26"/>
      <c r="L448" s="26" t="s">
        <v>1327</v>
      </c>
      <c r="M448" s="26"/>
      <c r="N448" s="26"/>
      <c r="O448" s="26"/>
      <c r="P448" s="26"/>
      <c r="Q448" s="26"/>
      <c r="R448" s="26" t="str">
        <f t="shared" ref="R448:R449" si="62">IF(E448="no", H448, CONCATENATE(G448,". &lt;br&gt;",H448))</f>
        <v>&lt;font color=red&gt;&lt;b&gt;Interviewer: &lt;/b&gt;
&lt;i&gt;Confirm &lt;font color=blue&gt;${ai3_mg_manual}&lt;/font&gt; is the correct strength&lt;/i&gt;</v>
      </c>
      <c r="S448" s="26" t="s">
        <v>1328</v>
      </c>
      <c r="T448" s="26"/>
      <c r="U448" s="26"/>
      <c r="V448" s="29"/>
      <c r="W448" s="29"/>
      <c r="X448" s="29"/>
      <c r="Y448" s="29"/>
      <c r="Z448" s="29"/>
    </row>
    <row r="449" spans="1:26" ht="25.5" hidden="1" outlineLevel="1" x14ac:dyDescent="0.2">
      <c r="A449" s="8"/>
      <c r="B449" s="29"/>
      <c r="C449" s="125" t="s">
        <v>76</v>
      </c>
      <c r="D449" s="26" t="s">
        <v>1329</v>
      </c>
      <c r="E449" s="67" t="s">
        <v>91</v>
      </c>
      <c r="F449" s="67">
        <v>1</v>
      </c>
      <c r="G449" s="67">
        <f t="shared" si="52"/>
        <v>10</v>
      </c>
      <c r="H449" s="12" t="s">
        <v>1330</v>
      </c>
      <c r="I449" s="26"/>
      <c r="J449" s="26"/>
      <c r="K449" s="26"/>
      <c r="L449" s="26" t="s">
        <v>1331</v>
      </c>
      <c r="M449" s="26"/>
      <c r="N449" s="26"/>
      <c r="O449" s="26"/>
      <c r="P449" s="26"/>
      <c r="Q449" s="26"/>
      <c r="R449" s="26" t="str">
        <f t="shared" si="62"/>
        <v>&lt;font color=red&gt;&lt;b&gt;Interviewer: &lt;/b&gt;
&lt;i&gt;Confirm &lt;font color=blue&gt;${ai3_ml_manual}&lt;/font&gt; is the correct strength&lt;/i&gt;</v>
      </c>
      <c r="S449" s="26" t="s">
        <v>1332</v>
      </c>
      <c r="T449" s="26"/>
      <c r="U449" s="26"/>
      <c r="V449" s="29"/>
      <c r="W449" s="29"/>
      <c r="X449" s="29"/>
      <c r="Y449" s="29"/>
      <c r="Z449" s="29"/>
    </row>
    <row r="450" spans="1:26" ht="15.75" hidden="1" outlineLevel="1" x14ac:dyDescent="0.2">
      <c r="A450" s="8"/>
      <c r="B450" s="29"/>
      <c r="C450" s="125" t="s">
        <v>174</v>
      </c>
      <c r="D450" s="26" t="s">
        <v>1309</v>
      </c>
      <c r="E450" s="67" t="s">
        <v>91</v>
      </c>
      <c r="F450" s="67">
        <v>1</v>
      </c>
      <c r="G450" s="67">
        <f t="shared" si="52"/>
        <v>10</v>
      </c>
      <c r="H450" s="12"/>
      <c r="I450" s="26"/>
      <c r="J450" s="26"/>
      <c r="K450" s="26"/>
      <c r="L450" s="26"/>
      <c r="M450" s="26"/>
      <c r="N450" s="26"/>
      <c r="O450" s="26"/>
      <c r="P450" s="26"/>
      <c r="Q450" s="26"/>
      <c r="R450" s="26"/>
      <c r="S450" s="26"/>
      <c r="T450" s="26"/>
      <c r="U450" s="26"/>
      <c r="V450" s="29"/>
      <c r="W450" s="29"/>
      <c r="X450" s="29"/>
      <c r="Y450" s="29"/>
      <c r="Z450" s="29"/>
    </row>
    <row r="451" spans="1:26" ht="15.75" hidden="1" outlineLevel="1" x14ac:dyDescent="0.2">
      <c r="A451" s="8"/>
      <c r="B451" s="29"/>
      <c r="C451" s="125" t="s">
        <v>174</v>
      </c>
      <c r="D451" s="26" t="s">
        <v>1245</v>
      </c>
      <c r="E451" s="67" t="s">
        <v>91</v>
      </c>
      <c r="F451" s="67">
        <v>1</v>
      </c>
      <c r="G451" s="67">
        <f t="shared" si="52"/>
        <v>10</v>
      </c>
      <c r="H451" s="12"/>
      <c r="I451" s="26"/>
      <c r="J451" s="26"/>
      <c r="K451" s="26"/>
      <c r="L451" s="26"/>
      <c r="M451" s="26"/>
      <c r="N451" s="26"/>
      <c r="O451" s="26"/>
      <c r="P451" s="26"/>
      <c r="Q451" s="26"/>
      <c r="R451" s="26"/>
      <c r="S451" s="26"/>
      <c r="T451" s="26"/>
      <c r="U451" s="26"/>
      <c r="V451" s="29"/>
      <c r="W451" s="29"/>
      <c r="X451" s="29"/>
      <c r="Y451" s="29"/>
      <c r="Z451" s="29"/>
    </row>
    <row r="452" spans="1:26" ht="15.75" outlineLevel="1" x14ac:dyDescent="0.2">
      <c r="A452" s="8"/>
      <c r="B452" s="29"/>
      <c r="C452" s="125" t="s">
        <v>89</v>
      </c>
      <c r="D452" s="26" t="s">
        <v>1333</v>
      </c>
      <c r="E452" s="67" t="s">
        <v>91</v>
      </c>
      <c r="F452" s="67">
        <v>1</v>
      </c>
      <c r="G452" s="67">
        <f t="shared" si="52"/>
        <v>10</v>
      </c>
      <c r="H452" s="12"/>
      <c r="I452" s="26"/>
      <c r="J452" s="26"/>
      <c r="K452" s="26"/>
      <c r="L452" s="26"/>
      <c r="M452" s="26"/>
      <c r="N452" s="26"/>
      <c r="O452" s="26"/>
      <c r="P452" s="26"/>
      <c r="Q452" s="26"/>
      <c r="R452" s="26"/>
      <c r="S452" s="26"/>
      <c r="T452" s="26"/>
      <c r="U452" s="26"/>
      <c r="V452" s="29"/>
      <c r="W452" s="29"/>
      <c r="X452" s="29"/>
      <c r="Y452" s="29"/>
      <c r="Z452" s="29"/>
    </row>
    <row r="453" spans="1:26" ht="191.25" hidden="1" outlineLevel="1" x14ac:dyDescent="0.2">
      <c r="A453" s="8"/>
      <c r="B453" s="29"/>
      <c r="C453" s="125" t="s">
        <v>76</v>
      </c>
      <c r="D453" s="26" t="s">
        <v>1334</v>
      </c>
      <c r="E453" s="67" t="s">
        <v>91</v>
      </c>
      <c r="F453" s="67">
        <v>1</v>
      </c>
      <c r="G453" s="67">
        <f t="shared" si="52"/>
        <v>10</v>
      </c>
      <c r="H453" s="12" t="s">
        <v>1335</v>
      </c>
      <c r="I453" s="26"/>
      <c r="J453" s="26"/>
      <c r="K453" s="26"/>
      <c r="L453" s="26" t="s">
        <v>1336</v>
      </c>
      <c r="M453" s="26"/>
      <c r="N453" s="26"/>
      <c r="O453" s="26"/>
      <c r="P453" s="26"/>
      <c r="Q453" s="26"/>
      <c r="R453" s="26" t="str">
        <f t="shared" ref="R453:R454" si="63">IF(E453="no", H453, CONCATENATE(G453,". &lt;br&gt;",H453))</f>
        <v>&lt;b&gt;Confirm the product details entered&lt;/b&gt;
&lt;br&gt;&lt;font color=black&gt;Dosage form: 
&lt;br&gt;&lt;h4&gt;&lt;font color=blue&gt;${a3_lbl_manual}&lt;/h4&gt;
&lt;br&gt;&lt;br&gt;Brand:
&lt;br&gt;&lt;h4&gt;&lt;font color=red&gt;${brand_manual}&lt;/h4&gt; 
&lt;br&gt;&lt;font color=black&gt;Active ingredient(s) and strength(s) in mg (and mL for liquids):
&lt;br&gt;&lt;font color=blue&gt;${ai1_manual_lbl} - ${ai1_mg_manual}mg
&lt;br&gt;&lt;font color=blue&gt;${ai2_manual_lbl} - ${ai2_mg_manual}mg
&lt;br&gt;&lt;font color=blue&gt;${ai3_manual_lbl} - ${ai3_mg_manual}mg
&lt;br&gt;&lt;font color=black&gt;Manufacturer: 
&lt;br&gt;&lt;br&gt;&lt;font color=blue&gt;${manu_manual}
&lt;br&gt;
&lt;br&gt;Swipe forward if this information is correct. 
&lt;br&gt;Go back to fix any errors.</v>
      </c>
      <c r="S453" s="26" t="s">
        <v>1337</v>
      </c>
      <c r="T453" s="26"/>
      <c r="U453" s="26"/>
      <c r="V453" s="29"/>
      <c r="W453" s="29"/>
      <c r="X453" s="29"/>
      <c r="Y453" s="29"/>
      <c r="Z453" s="29"/>
    </row>
    <row r="454" spans="1:26" ht="229.5" hidden="1" outlineLevel="1" x14ac:dyDescent="0.2">
      <c r="A454" s="8"/>
      <c r="B454" s="29"/>
      <c r="C454" s="125" t="s">
        <v>76</v>
      </c>
      <c r="D454" s="26" t="s">
        <v>1338</v>
      </c>
      <c r="E454" s="67" t="s">
        <v>91</v>
      </c>
      <c r="F454" s="67">
        <v>1</v>
      </c>
      <c r="G454" s="67">
        <f t="shared" si="52"/>
        <v>10</v>
      </c>
      <c r="H454" s="12" t="s">
        <v>1339</v>
      </c>
      <c r="I454" s="26"/>
      <c r="J454" s="26"/>
      <c r="K454" s="26"/>
      <c r="L454" s="26" t="s">
        <v>1273</v>
      </c>
      <c r="M454" s="26"/>
      <c r="N454" s="26"/>
      <c r="O454" s="26"/>
      <c r="P454" s="26"/>
      <c r="Q454" s="26"/>
      <c r="R454" s="26" t="str">
        <f t="shared" si="63"/>
        <v>&lt;b&gt;Confirm the product details entered&lt;/b&gt;
&lt;br&gt;&lt;br&gt;Brand:
&lt;br&gt;&lt;h4&gt;&lt;font color=red&gt;${brand_manual}&lt;/h4&gt; 
&lt;br&gt;&lt;font color=black&gt;Dosage form: 
&lt;br&gt;&lt;h4&gt;&lt;font color=blue&gt;${a3_lbl_manual}&lt;/h4&gt;
&lt;br&gt;&lt;font color=black&gt;Active ingredient(s) and strength(s) in mg (and mL for liquids):
&lt;br&gt;&lt;font color=blue&gt;${ai1_manual_lbl} - ${ai1_mg_manual}mg/  ${ai1_ml_manual}ml
&lt;br&gt;&lt;font color=blue&gt;${ai2_manual_lbl} - ${ai2_mg_manual}mg/  ${ai2_ml_manual}ml
&lt;br&gt;&lt;font color=blue&gt;${ai3_manual_lbl} - ${ai3_mg_manual}mg/  ${ai3_ml_manual}ml
&lt;br&gt;&lt;br&gt;&lt;font color=black&gt;Manufacturer: 
&lt;br&gt;&lt;font color=blue&gt;${manu_manual}
&lt;br&gt;
&lt;br&gt;Swipe forward if this information is correct. 
&lt;br&gt;Go back to fix any errors.</v>
      </c>
      <c r="S454" s="26" t="s">
        <v>1340</v>
      </c>
      <c r="T454" s="26"/>
      <c r="U454" s="26"/>
      <c r="V454" s="29"/>
      <c r="W454" s="29"/>
      <c r="X454" s="29"/>
      <c r="Y454" s="29"/>
      <c r="Z454" s="29"/>
    </row>
    <row r="455" spans="1:26" ht="15.75" hidden="1" outlineLevel="1" x14ac:dyDescent="0.2">
      <c r="A455" s="8"/>
      <c r="B455" s="29"/>
      <c r="C455" s="125" t="s">
        <v>174</v>
      </c>
      <c r="D455" s="26" t="s">
        <v>1333</v>
      </c>
      <c r="E455" s="67" t="s">
        <v>91</v>
      </c>
      <c r="F455" s="67">
        <v>1</v>
      </c>
      <c r="G455" s="67">
        <f t="shared" si="52"/>
        <v>10</v>
      </c>
      <c r="H455" s="12"/>
      <c r="I455" s="26"/>
      <c r="J455" s="26"/>
      <c r="K455" s="26"/>
      <c r="L455" s="26"/>
      <c r="M455" s="26"/>
      <c r="N455" s="26"/>
      <c r="O455" s="26"/>
      <c r="P455" s="26"/>
      <c r="Q455" s="26"/>
      <c r="R455" s="26"/>
      <c r="S455" s="26"/>
      <c r="T455" s="26"/>
      <c r="U455" s="26"/>
      <c r="V455" s="29"/>
      <c r="W455" s="29"/>
      <c r="X455" s="29"/>
      <c r="Y455" s="29"/>
      <c r="Z455" s="29"/>
    </row>
    <row r="456" spans="1:26" ht="15.75" hidden="1" outlineLevel="1" x14ac:dyDescent="0.2">
      <c r="A456" s="8"/>
      <c r="B456" s="29"/>
      <c r="C456" s="125" t="s">
        <v>174</v>
      </c>
      <c r="D456" s="26" t="s">
        <v>1218</v>
      </c>
      <c r="E456" s="67" t="s">
        <v>91</v>
      </c>
      <c r="F456" s="67">
        <v>1</v>
      </c>
      <c r="G456" s="67">
        <f t="shared" si="52"/>
        <v>10</v>
      </c>
      <c r="H456" s="12"/>
      <c r="I456" s="26"/>
      <c r="J456" s="26"/>
      <c r="K456" s="26"/>
      <c r="L456" s="26"/>
      <c r="M456" s="26"/>
      <c r="N456" s="26"/>
      <c r="O456" s="26"/>
      <c r="P456" s="26"/>
      <c r="Q456" s="26"/>
      <c r="R456" s="26"/>
      <c r="S456" s="26"/>
      <c r="T456" s="26"/>
      <c r="U456" s="26"/>
      <c r="V456" s="29"/>
      <c r="W456" s="29"/>
      <c r="X456" s="29"/>
      <c r="Y456" s="29"/>
      <c r="Z456" s="29"/>
    </row>
    <row r="457" spans="1:26" ht="15.75" hidden="1" outlineLevel="1" x14ac:dyDescent="0.2">
      <c r="A457" s="71" t="s">
        <v>1341</v>
      </c>
      <c r="B457" s="29"/>
      <c r="C457" s="125" t="s">
        <v>109</v>
      </c>
      <c r="D457" s="26" t="s">
        <v>1342</v>
      </c>
      <c r="E457" s="67" t="s">
        <v>91</v>
      </c>
      <c r="F457" s="67">
        <v>1</v>
      </c>
      <c r="G457" s="67">
        <f t="shared" si="52"/>
        <v>10</v>
      </c>
      <c r="H457" s="12" t="s">
        <v>1343</v>
      </c>
      <c r="I457" s="26"/>
      <c r="J457" s="26"/>
      <c r="K457" s="26"/>
      <c r="L457" s="26"/>
      <c r="M457" s="26" t="s">
        <v>1344</v>
      </c>
      <c r="N457" s="26"/>
      <c r="O457" s="26"/>
      <c r="P457" s="26"/>
      <c r="Q457" s="26"/>
      <c r="R457" s="26" t="str">
        <f t="shared" ref="R457:R467" si="64">IF(E457="no", H457, CONCATENATE(G457,". &lt;br&gt;",H457))</f>
        <v>brand name</v>
      </c>
      <c r="S457" s="26" t="s">
        <v>1345</v>
      </c>
      <c r="T457" s="26"/>
      <c r="U457" s="26"/>
      <c r="V457" s="29"/>
      <c r="W457" s="29"/>
      <c r="X457" s="29"/>
      <c r="Y457" s="29"/>
      <c r="Z457" s="29"/>
    </row>
    <row r="458" spans="1:26" ht="15.75" hidden="1" outlineLevel="1" x14ac:dyDescent="0.2">
      <c r="A458" s="8"/>
      <c r="B458" s="29"/>
      <c r="C458" s="125" t="s">
        <v>109</v>
      </c>
      <c r="D458" s="26" t="s">
        <v>1346</v>
      </c>
      <c r="E458" s="67" t="s">
        <v>91</v>
      </c>
      <c r="F458" s="67">
        <v>1</v>
      </c>
      <c r="G458" s="67">
        <f t="shared" si="52"/>
        <v>10</v>
      </c>
      <c r="H458" s="12" t="s">
        <v>1347</v>
      </c>
      <c r="I458" s="26"/>
      <c r="J458" s="26"/>
      <c r="K458" s="26"/>
      <c r="L458" s="26"/>
      <c r="M458" s="26" t="s">
        <v>1348</v>
      </c>
      <c r="N458" s="26"/>
      <c r="O458" s="26"/>
      <c r="P458" s="26"/>
      <c r="Q458" s="26"/>
      <c r="R458" s="26" t="str">
        <f t="shared" si="64"/>
        <v>dosage form values</v>
      </c>
      <c r="S458" s="26" t="s">
        <v>1349</v>
      </c>
      <c r="T458" s="26"/>
      <c r="U458" s="26"/>
      <c r="V458" s="29"/>
      <c r="W458" s="29"/>
      <c r="X458" s="29"/>
      <c r="Y458" s="29"/>
      <c r="Z458" s="29"/>
    </row>
    <row r="459" spans="1:26" ht="15.75" hidden="1" outlineLevel="1" x14ac:dyDescent="0.2">
      <c r="A459" s="8"/>
      <c r="B459" s="29"/>
      <c r="C459" s="125" t="s">
        <v>109</v>
      </c>
      <c r="D459" s="26" t="s">
        <v>1350</v>
      </c>
      <c r="E459" s="67" t="s">
        <v>91</v>
      </c>
      <c r="F459" s="67">
        <v>1</v>
      </c>
      <c r="G459" s="67">
        <f t="shared" si="52"/>
        <v>10</v>
      </c>
      <c r="H459" s="12" t="s">
        <v>1351</v>
      </c>
      <c r="I459" s="26"/>
      <c r="J459" s="26"/>
      <c r="K459" s="26"/>
      <c r="L459" s="26"/>
      <c r="M459" s="26" t="s">
        <v>1352</v>
      </c>
      <c r="N459" s="26"/>
      <c r="O459" s="26"/>
      <c r="P459" s="26"/>
      <c r="Q459" s="26"/>
      <c r="R459" s="26" t="str">
        <f t="shared" si="64"/>
        <v>dosage form labels</v>
      </c>
      <c r="S459" s="26" t="s">
        <v>1353</v>
      </c>
      <c r="T459" s="26"/>
      <c r="U459" s="26"/>
      <c r="V459" s="29"/>
      <c r="W459" s="29"/>
      <c r="X459" s="29"/>
      <c r="Y459" s="29"/>
      <c r="Z459" s="29"/>
    </row>
    <row r="460" spans="1:26" ht="15.75" hidden="1" outlineLevel="1" x14ac:dyDescent="0.2">
      <c r="A460" s="8"/>
      <c r="B460" s="29"/>
      <c r="C460" s="125" t="s">
        <v>109</v>
      </c>
      <c r="D460" s="26" t="s">
        <v>1354</v>
      </c>
      <c r="E460" s="67" t="s">
        <v>91</v>
      </c>
      <c r="F460" s="67">
        <v>1</v>
      </c>
      <c r="G460" s="67">
        <f t="shared" si="52"/>
        <v>10</v>
      </c>
      <c r="H460" s="12" t="s">
        <v>1355</v>
      </c>
      <c r="I460" s="26"/>
      <c r="J460" s="26"/>
      <c r="K460" s="26"/>
      <c r="L460" s="26"/>
      <c r="M460" s="26" t="s">
        <v>1356</v>
      </c>
      <c r="N460" s="26"/>
      <c r="O460" s="26"/>
      <c r="P460" s="26"/>
      <c r="Q460" s="26"/>
      <c r="R460" s="26" t="str">
        <f t="shared" si="64"/>
        <v>tsg (1) or nt (0)</v>
      </c>
      <c r="S460" s="26" t="s">
        <v>1357</v>
      </c>
      <c r="T460" s="26"/>
      <c r="U460" s="26"/>
      <c r="V460" s="29"/>
      <c r="W460" s="29"/>
      <c r="X460" s="29"/>
      <c r="Y460" s="29"/>
      <c r="Z460" s="29"/>
    </row>
    <row r="461" spans="1:26" ht="15.75" hidden="1" outlineLevel="1" x14ac:dyDescent="0.2">
      <c r="A461" s="8"/>
      <c r="B461" s="29"/>
      <c r="C461" s="125" t="s">
        <v>109</v>
      </c>
      <c r="D461" s="26" t="s">
        <v>1358</v>
      </c>
      <c r="E461" s="67" t="s">
        <v>91</v>
      </c>
      <c r="F461" s="67">
        <v>1</v>
      </c>
      <c r="G461" s="67">
        <f t="shared" si="52"/>
        <v>10</v>
      </c>
      <c r="H461" s="12" t="s">
        <v>1359</v>
      </c>
      <c r="I461" s="26"/>
      <c r="J461" s="26"/>
      <c r="K461" s="26"/>
      <c r="L461" s="26"/>
      <c r="M461" s="26" t="s">
        <v>1360</v>
      </c>
      <c r="N461" s="26"/>
      <c r="O461" s="26"/>
      <c r="P461" s="26"/>
      <c r="Q461" s="26"/>
      <c r="R461" s="26" t="str">
        <f t="shared" si="64"/>
        <v>manufactur</v>
      </c>
      <c r="S461" s="26" t="s">
        <v>1361</v>
      </c>
      <c r="T461" s="26"/>
      <c r="U461" s="26"/>
      <c r="V461" s="29"/>
      <c r="W461" s="29"/>
      <c r="X461" s="29"/>
      <c r="Y461" s="29"/>
      <c r="Z461" s="29"/>
    </row>
    <row r="462" spans="1:26" ht="15.75" hidden="1" outlineLevel="1" x14ac:dyDescent="0.2">
      <c r="A462" s="8"/>
      <c r="B462" s="29"/>
      <c r="C462" s="125" t="s">
        <v>109</v>
      </c>
      <c r="D462" s="26" t="s">
        <v>1362</v>
      </c>
      <c r="E462" s="67" t="s">
        <v>91</v>
      </c>
      <c r="F462" s="67">
        <v>1</v>
      </c>
      <c r="G462" s="67">
        <f t="shared" si="52"/>
        <v>10</v>
      </c>
      <c r="H462" s="12" t="s">
        <v>1363</v>
      </c>
      <c r="I462" s="26"/>
      <c r="J462" s="26"/>
      <c r="K462" s="26"/>
      <c r="L462" s="26"/>
      <c r="M462" s="26" t="s">
        <v>1364</v>
      </c>
      <c r="N462" s="26"/>
      <c r="O462" s="26"/>
      <c r="P462" s="26"/>
      <c r="Q462" s="26"/>
      <c r="R462" s="26" t="str">
        <f t="shared" si="64"/>
        <v>active ingredient 1</v>
      </c>
      <c r="S462" s="26" t="s">
        <v>1365</v>
      </c>
      <c r="T462" s="26"/>
      <c r="U462" s="26"/>
      <c r="V462" s="29"/>
      <c r="W462" s="29"/>
      <c r="X462" s="29"/>
      <c r="Y462" s="29"/>
      <c r="Z462" s="29"/>
    </row>
    <row r="463" spans="1:26" ht="15.75" hidden="1" outlineLevel="1" x14ac:dyDescent="0.2">
      <c r="A463" s="8"/>
      <c r="B463" s="29"/>
      <c r="C463" s="125" t="s">
        <v>109</v>
      </c>
      <c r="D463" s="26" t="s">
        <v>1366</v>
      </c>
      <c r="E463" s="67" t="s">
        <v>91</v>
      </c>
      <c r="F463" s="67">
        <v>1</v>
      </c>
      <c r="G463" s="67">
        <f t="shared" si="52"/>
        <v>10</v>
      </c>
      <c r="H463" s="12" t="s">
        <v>1367</v>
      </c>
      <c r="I463" s="26"/>
      <c r="J463" s="26"/>
      <c r="K463" s="26"/>
      <c r="L463" s="26"/>
      <c r="M463" s="26" t="s">
        <v>1368</v>
      </c>
      <c r="N463" s="26"/>
      <c r="O463" s="26"/>
      <c r="P463" s="26"/>
      <c r="Q463" s="26"/>
      <c r="R463" s="26" t="str">
        <f t="shared" si="64"/>
        <v>active ingredient 2</v>
      </c>
      <c r="S463" s="26" t="s">
        <v>1369</v>
      </c>
      <c r="T463" s="26"/>
      <c r="U463" s="26"/>
      <c r="V463" s="29"/>
      <c r="W463" s="29"/>
      <c r="X463" s="29"/>
      <c r="Y463" s="29"/>
      <c r="Z463" s="29"/>
    </row>
    <row r="464" spans="1:26" ht="15.75" hidden="1" outlineLevel="1" x14ac:dyDescent="0.2">
      <c r="A464" s="8"/>
      <c r="B464" s="29"/>
      <c r="C464" s="125" t="s">
        <v>109</v>
      </c>
      <c r="D464" s="26" t="s">
        <v>1370</v>
      </c>
      <c r="E464" s="67" t="s">
        <v>91</v>
      </c>
      <c r="F464" s="67">
        <v>1</v>
      </c>
      <c r="G464" s="67">
        <f t="shared" si="52"/>
        <v>10</v>
      </c>
      <c r="H464" s="12" t="s">
        <v>1371</v>
      </c>
      <c r="I464" s="26"/>
      <c r="J464" s="26"/>
      <c r="K464" s="26"/>
      <c r="L464" s="26"/>
      <c r="M464" s="26" t="s">
        <v>1372</v>
      </c>
      <c r="N464" s="26"/>
      <c r="O464" s="26"/>
      <c r="P464" s="26"/>
      <c r="Q464" s="26"/>
      <c r="R464" s="26" t="str">
        <f t="shared" si="64"/>
        <v>active ingredient 3</v>
      </c>
      <c r="S464" s="26" t="s">
        <v>1373</v>
      </c>
      <c r="T464" s="26"/>
      <c r="U464" s="26"/>
      <c r="V464" s="29"/>
      <c r="W464" s="29"/>
      <c r="X464" s="29"/>
      <c r="Y464" s="29"/>
      <c r="Z464" s="29"/>
    </row>
    <row r="465" spans="1:26" ht="15.75" hidden="1" outlineLevel="1" x14ac:dyDescent="0.2">
      <c r="A465" s="8"/>
      <c r="B465" s="29"/>
      <c r="C465" s="125" t="s">
        <v>109</v>
      </c>
      <c r="D465" s="26" t="s">
        <v>1374</v>
      </c>
      <c r="E465" s="67" t="s">
        <v>91</v>
      </c>
      <c r="F465" s="67">
        <v>1</v>
      </c>
      <c r="G465" s="67">
        <f t="shared" si="52"/>
        <v>10</v>
      </c>
      <c r="H465" s="12" t="s">
        <v>1375</v>
      </c>
      <c r="I465" s="26"/>
      <c r="J465" s="26"/>
      <c r="K465" s="26"/>
      <c r="L465" s="26"/>
      <c r="M465" s="26" t="s">
        <v>1376</v>
      </c>
      <c r="N465" s="26"/>
      <c r="O465" s="26"/>
      <c r="P465" s="26"/>
      <c r="Q465" s="26"/>
      <c r="R465" s="26" t="str">
        <f t="shared" si="64"/>
        <v>active ingredient strength 1</v>
      </c>
      <c r="S465" s="26" t="s">
        <v>1377</v>
      </c>
      <c r="T465" s="26"/>
      <c r="U465" s="26"/>
      <c r="V465" s="29"/>
      <c r="W465" s="29"/>
      <c r="X465" s="29"/>
      <c r="Y465" s="29"/>
      <c r="Z465" s="29"/>
    </row>
    <row r="466" spans="1:26" ht="15.75" hidden="1" outlineLevel="1" x14ac:dyDescent="0.2">
      <c r="A466" s="8"/>
      <c r="B466" s="29"/>
      <c r="C466" s="125" t="s">
        <v>109</v>
      </c>
      <c r="D466" s="26" t="s">
        <v>1378</v>
      </c>
      <c r="E466" s="67" t="s">
        <v>91</v>
      </c>
      <c r="F466" s="67">
        <v>1</v>
      </c>
      <c r="G466" s="67">
        <f t="shared" si="52"/>
        <v>10</v>
      </c>
      <c r="H466" s="12" t="s">
        <v>1379</v>
      </c>
      <c r="I466" s="26"/>
      <c r="J466" s="26"/>
      <c r="K466" s="26"/>
      <c r="L466" s="26"/>
      <c r="M466" s="26" t="s">
        <v>1380</v>
      </c>
      <c r="N466" s="26"/>
      <c r="O466" s="26"/>
      <c r="P466" s="26"/>
      <c r="Q466" s="26"/>
      <c r="R466" s="26" t="str">
        <f t="shared" si="64"/>
        <v>active ingredient strength 2</v>
      </c>
      <c r="S466" s="26" t="s">
        <v>1381</v>
      </c>
      <c r="T466" s="26"/>
      <c r="U466" s="26"/>
      <c r="V466" s="29"/>
      <c r="W466" s="29"/>
      <c r="X466" s="29"/>
      <c r="Y466" s="29"/>
      <c r="Z466" s="29"/>
    </row>
    <row r="467" spans="1:26" ht="15.75" hidden="1" outlineLevel="1" x14ac:dyDescent="0.2">
      <c r="A467" s="8"/>
      <c r="B467" s="29"/>
      <c r="C467" s="125" t="s">
        <v>109</v>
      </c>
      <c r="D467" s="26" t="s">
        <v>1382</v>
      </c>
      <c r="E467" s="67" t="s">
        <v>91</v>
      </c>
      <c r="F467" s="67">
        <v>1</v>
      </c>
      <c r="G467" s="67">
        <f t="shared" si="52"/>
        <v>10</v>
      </c>
      <c r="H467" s="12" t="s">
        <v>1383</v>
      </c>
      <c r="I467" s="26"/>
      <c r="J467" s="26"/>
      <c r="K467" s="26"/>
      <c r="L467" s="26"/>
      <c r="M467" s="26" t="s">
        <v>1384</v>
      </c>
      <c r="N467" s="26"/>
      <c r="O467" s="26"/>
      <c r="P467" s="26"/>
      <c r="Q467" s="26"/>
      <c r="R467" s="26" t="str">
        <f t="shared" si="64"/>
        <v>active ingredient strength 3</v>
      </c>
      <c r="S467" s="26" t="s">
        <v>1385</v>
      </c>
      <c r="T467" s="26"/>
      <c r="U467" s="26"/>
      <c r="V467" s="29"/>
      <c r="W467" s="29"/>
      <c r="X467" s="29"/>
      <c r="Y467" s="29"/>
      <c r="Z467" s="29"/>
    </row>
    <row r="468" spans="1:26" ht="15.75" hidden="1" outlineLevel="1" x14ac:dyDescent="0.2">
      <c r="A468" s="28"/>
      <c r="B468" s="72"/>
      <c r="C468" s="142"/>
      <c r="D468" s="38"/>
      <c r="E468" s="73"/>
      <c r="F468" s="73"/>
      <c r="G468" s="73"/>
      <c r="H468" s="38"/>
      <c r="I468" s="38"/>
      <c r="J468" s="38"/>
      <c r="K468" s="38"/>
      <c r="L468" s="38"/>
      <c r="M468" s="38"/>
      <c r="N468" s="38"/>
      <c r="O468" s="38"/>
      <c r="P468" s="38"/>
      <c r="Q468" s="38"/>
      <c r="R468" s="38"/>
      <c r="S468" s="38"/>
      <c r="T468" s="38"/>
      <c r="U468" s="38"/>
      <c r="V468" s="72"/>
      <c r="W468" s="72"/>
      <c r="X468" s="72"/>
      <c r="Y468" s="72"/>
      <c r="Z468" s="72"/>
    </row>
    <row r="469" spans="1:26" ht="15.75" outlineLevel="1" x14ac:dyDescent="0.2">
      <c r="A469" s="8" t="s">
        <v>1386</v>
      </c>
      <c r="B469" s="29"/>
      <c r="C469" s="125" t="s">
        <v>89</v>
      </c>
      <c r="D469" s="26" t="s">
        <v>1387</v>
      </c>
      <c r="E469" s="67" t="s">
        <v>91</v>
      </c>
      <c r="F469" s="67">
        <v>1</v>
      </c>
      <c r="G469" s="67">
        <v>0</v>
      </c>
      <c r="H469" s="12" t="s">
        <v>1388</v>
      </c>
      <c r="I469" s="26"/>
      <c r="J469" s="26"/>
      <c r="K469" s="26"/>
      <c r="L469" s="26"/>
      <c r="M469" s="26"/>
      <c r="N469" s="26"/>
      <c r="O469" s="26"/>
      <c r="P469" s="26"/>
      <c r="Q469" s="26"/>
      <c r="R469" s="26" t="str">
        <f t="shared" ref="R469:R479" si="65">IF(E469="no", H469, CONCATENATE(G469,". &lt;br&gt;",H469))</f>
        <v xml:space="preserve">Additional information input for all products: </v>
      </c>
      <c r="S469" s="26" t="s">
        <v>1389</v>
      </c>
      <c r="T469" s="26"/>
      <c r="U469" s="26"/>
      <c r="V469" s="29"/>
      <c r="W469" s="29"/>
      <c r="X469" s="29"/>
      <c r="Y469" s="29"/>
      <c r="Z469" s="29"/>
    </row>
    <row r="470" spans="1:26" ht="15.75" hidden="1" outlineLevel="1" x14ac:dyDescent="0.2">
      <c r="A470" s="8"/>
      <c r="B470" s="29"/>
      <c r="C470" s="125" t="s">
        <v>1390</v>
      </c>
      <c r="D470" s="26" t="s">
        <v>1391</v>
      </c>
      <c r="E470" s="67" t="s">
        <v>83</v>
      </c>
      <c r="F470" s="67">
        <v>1</v>
      </c>
      <c r="G470" s="67">
        <f t="shared" ref="G470:G481" si="66">IF(E470="no", G469, IF(F470=F469, G469+1, 1))</f>
        <v>1</v>
      </c>
      <c r="H470" s="12" t="s">
        <v>1392</v>
      </c>
      <c r="I470" s="26"/>
      <c r="J470" s="26"/>
      <c r="K470" s="26"/>
      <c r="L470" s="26"/>
      <c r="M470" s="26"/>
      <c r="N470" s="26"/>
      <c r="O470" s="26"/>
      <c r="P470" s="26" t="s">
        <v>83</v>
      </c>
      <c r="Q470" s="26"/>
      <c r="R470" s="26" t="str">
        <f t="shared" si="65"/>
        <v>1. &lt;br&gt;&lt;b&gt;Country of manufacture&lt;/b&gt; for &lt;font color=blue&gt;${brand}</v>
      </c>
      <c r="S470" s="26" t="s">
        <v>1393</v>
      </c>
      <c r="T470" s="26"/>
      <c r="U470" s="26"/>
      <c r="V470" s="29"/>
      <c r="W470" s="29"/>
      <c r="X470" s="29"/>
      <c r="Y470" s="29"/>
      <c r="Z470" s="29"/>
    </row>
    <row r="471" spans="1:26" ht="15.75" hidden="1" outlineLevel="1" x14ac:dyDescent="0.2">
      <c r="A471" s="8"/>
      <c r="B471" s="29"/>
      <c r="C471" s="125" t="s">
        <v>144</v>
      </c>
      <c r="D471" s="26" t="s">
        <v>1394</v>
      </c>
      <c r="E471" s="67" t="s">
        <v>91</v>
      </c>
      <c r="F471" s="67">
        <v>1</v>
      </c>
      <c r="G471" s="67">
        <f t="shared" si="66"/>
        <v>1</v>
      </c>
      <c r="H471" s="12" t="s">
        <v>1395</v>
      </c>
      <c r="I471" s="26"/>
      <c r="J471" s="26"/>
      <c r="K471" s="26"/>
      <c r="L471" s="26" t="s">
        <v>1396</v>
      </c>
      <c r="M471" s="26"/>
      <c r="N471" s="26"/>
      <c r="O471" s="26"/>
      <c r="P471" s="26" t="s">
        <v>83</v>
      </c>
      <c r="Q471" s="26"/>
      <c r="R471" s="26" t="str">
        <f t="shared" si="65"/>
        <v>Specify other country:</v>
      </c>
      <c r="S471" s="26" t="s">
        <v>1397</v>
      </c>
      <c r="T471" s="26"/>
      <c r="U471" s="26"/>
      <c r="V471" s="29"/>
      <c r="W471" s="29"/>
      <c r="X471" s="29"/>
      <c r="Y471" s="29"/>
      <c r="Z471" s="29"/>
    </row>
    <row r="472" spans="1:26" ht="15.75" hidden="1" outlineLevel="1" x14ac:dyDescent="0.2">
      <c r="A472" s="8"/>
      <c r="B472" s="26"/>
      <c r="C472" s="125" t="s">
        <v>1398</v>
      </c>
      <c r="D472" s="26" t="s">
        <v>1399</v>
      </c>
      <c r="E472" s="67" t="s">
        <v>83</v>
      </c>
      <c r="F472" s="67">
        <v>1</v>
      </c>
      <c r="G472" s="67">
        <f t="shared" si="66"/>
        <v>2</v>
      </c>
      <c r="H472" s="12" t="s">
        <v>1400</v>
      </c>
      <c r="I472" s="26"/>
      <c r="J472" s="26"/>
      <c r="K472" s="26"/>
      <c r="L472" s="26" t="s">
        <v>1401</v>
      </c>
      <c r="M472" s="26"/>
      <c r="N472" s="26"/>
      <c r="O472" s="26"/>
      <c r="P472" s="26" t="s">
        <v>83</v>
      </c>
      <c r="Q472" s="26"/>
      <c r="R472" s="26" t="str">
        <f t="shared" si="65"/>
        <v>2. &lt;br&gt;&lt;b&gt;[Observe]: &lt;/b&gt; Is this a &lt;b&gt;fixed dose combination&lt;/b&gt;?</v>
      </c>
      <c r="S472" s="26" t="s">
        <v>1402</v>
      </c>
      <c r="T472" s="26"/>
      <c r="U472" s="26"/>
      <c r="V472" s="29"/>
      <c r="W472" s="29"/>
      <c r="X472" s="29"/>
      <c r="Y472" s="29"/>
      <c r="Z472" s="29"/>
    </row>
    <row r="473" spans="1:26" ht="15.75" hidden="1" outlineLevel="1" x14ac:dyDescent="0.2">
      <c r="A473" s="8"/>
      <c r="B473" s="26"/>
      <c r="C473" s="125" t="s">
        <v>451</v>
      </c>
      <c r="D473" s="26" t="s">
        <v>1403</v>
      </c>
      <c r="E473" s="67" t="s">
        <v>83</v>
      </c>
      <c r="F473" s="67">
        <v>1</v>
      </c>
      <c r="G473" s="67">
        <f t="shared" si="66"/>
        <v>3</v>
      </c>
      <c r="H473" s="12" t="s">
        <v>1404</v>
      </c>
      <c r="I473" s="26"/>
      <c r="J473" s="26"/>
      <c r="K473" s="26"/>
      <c r="L473" s="26"/>
      <c r="M473" s="26"/>
      <c r="N473" s="26"/>
      <c r="O473" s="26"/>
      <c r="P473" s="26" t="s">
        <v>83</v>
      </c>
      <c r="Q473" s="26"/>
      <c r="R473" s="26" t="str">
        <f t="shared" si="65"/>
        <v>3. &lt;br&gt;Do any of the active ingredients have a salt?</v>
      </c>
      <c r="S473" s="26" t="s">
        <v>1405</v>
      </c>
      <c r="T473" s="26"/>
      <c r="U473" s="26"/>
      <c r="V473" s="29"/>
      <c r="W473" s="29"/>
      <c r="X473" s="29"/>
      <c r="Y473" s="29"/>
      <c r="Z473" s="29"/>
    </row>
    <row r="474" spans="1:26" ht="15.75" hidden="1" outlineLevel="1" x14ac:dyDescent="0.2">
      <c r="A474" s="8"/>
      <c r="B474" s="29"/>
      <c r="C474" s="125" t="s">
        <v>1406</v>
      </c>
      <c r="D474" s="26" t="s">
        <v>1407</v>
      </c>
      <c r="E474" s="67" t="s">
        <v>91</v>
      </c>
      <c r="F474" s="67">
        <v>1</v>
      </c>
      <c r="G474" s="67">
        <f t="shared" si="66"/>
        <v>3</v>
      </c>
      <c r="H474" s="12" t="s">
        <v>1408</v>
      </c>
      <c r="I474" s="26"/>
      <c r="J474" s="26"/>
      <c r="K474" s="26"/>
      <c r="L474" s="26" t="s">
        <v>1409</v>
      </c>
      <c r="M474" s="26"/>
      <c r="N474" s="26"/>
      <c r="O474" s="26"/>
      <c r="P474" s="26" t="s">
        <v>83</v>
      </c>
      <c r="Q474" s="26"/>
      <c r="R474" s="26" t="str">
        <f t="shared" si="65"/>
        <v>Specify the salt</v>
      </c>
      <c r="S474" s="26" t="s">
        <v>1410</v>
      </c>
      <c r="T474" s="26"/>
      <c r="U474" s="26"/>
      <c r="V474" s="29"/>
      <c r="W474" s="29"/>
      <c r="X474" s="29"/>
      <c r="Y474" s="29"/>
      <c r="Z474" s="29"/>
    </row>
    <row r="475" spans="1:26" ht="15.75" hidden="1" outlineLevel="1" x14ac:dyDescent="0.2">
      <c r="A475" s="8"/>
      <c r="B475" s="29"/>
      <c r="C475" s="125" t="s">
        <v>144</v>
      </c>
      <c r="D475" s="26" t="s">
        <v>1411</v>
      </c>
      <c r="E475" s="67" t="s">
        <v>91</v>
      </c>
      <c r="F475" s="67">
        <v>1</v>
      </c>
      <c r="G475" s="67">
        <f t="shared" si="66"/>
        <v>3</v>
      </c>
      <c r="H475" s="12" t="s">
        <v>1412</v>
      </c>
      <c r="I475" s="26"/>
      <c r="J475" s="26"/>
      <c r="K475" s="26"/>
      <c r="L475" s="26" t="s">
        <v>1413</v>
      </c>
      <c r="M475" s="26"/>
      <c r="N475" s="26"/>
      <c r="O475" s="26"/>
      <c r="P475" s="26" t="s">
        <v>83</v>
      </c>
      <c r="Q475" s="26"/>
      <c r="R475" s="26" t="str">
        <f t="shared" si="65"/>
        <v>Specify the other salt:</v>
      </c>
      <c r="S475" s="26" t="s">
        <v>1414</v>
      </c>
      <c r="T475" s="26"/>
      <c r="U475" s="26"/>
      <c r="V475" s="29"/>
      <c r="W475" s="29"/>
      <c r="X475" s="29"/>
      <c r="Y475" s="29"/>
      <c r="Z475" s="29"/>
    </row>
    <row r="476" spans="1:26" ht="15.75" hidden="1" outlineLevel="1" x14ac:dyDescent="0.2">
      <c r="A476" s="8"/>
      <c r="B476" s="26"/>
      <c r="C476" s="125" t="s">
        <v>1258</v>
      </c>
      <c r="D476" s="26" t="s">
        <v>1415</v>
      </c>
      <c r="E476" s="67" t="s">
        <v>91</v>
      </c>
      <c r="F476" s="67">
        <v>1</v>
      </c>
      <c r="G476" s="67">
        <f t="shared" si="66"/>
        <v>3</v>
      </c>
      <c r="H476" s="12" t="s">
        <v>1416</v>
      </c>
      <c r="I476" s="26"/>
      <c r="J476" s="26"/>
      <c r="K476" s="26"/>
      <c r="L476" s="26" t="s">
        <v>1409</v>
      </c>
      <c r="M476" s="26"/>
      <c r="N476" s="26"/>
      <c r="O476" s="26"/>
      <c r="P476" s="26" t="s">
        <v>83</v>
      </c>
      <c r="Q476" s="26"/>
      <c r="R476" s="26" t="str">
        <f t="shared" si="65"/>
        <v>Which active ingredient has the salt?</v>
      </c>
      <c r="S476" s="26" t="s">
        <v>1417</v>
      </c>
      <c r="T476" s="26"/>
      <c r="U476" s="26"/>
      <c r="V476" s="29"/>
      <c r="W476" s="29"/>
      <c r="X476" s="29"/>
      <c r="Y476" s="29"/>
      <c r="Z476" s="29"/>
    </row>
    <row r="477" spans="1:26" ht="15.75" hidden="1" outlineLevel="1" x14ac:dyDescent="0.2">
      <c r="A477" s="8"/>
      <c r="B477" s="29"/>
      <c r="C477" s="125" t="s">
        <v>144</v>
      </c>
      <c r="D477" s="26" t="s">
        <v>1418</v>
      </c>
      <c r="E477" s="67" t="s">
        <v>91</v>
      </c>
      <c r="F477" s="67">
        <v>1</v>
      </c>
      <c r="G477" s="67">
        <f t="shared" ref="G477" si="67">IF(E477="no", G476, IF(F477=F476, G476+1, 1))</f>
        <v>3</v>
      </c>
      <c r="H477" s="12" t="s">
        <v>1419</v>
      </c>
      <c r="I477" s="26"/>
      <c r="J477" s="26"/>
      <c r="K477" s="26"/>
      <c r="L477" s="26" t="s">
        <v>1420</v>
      </c>
      <c r="M477" s="26"/>
      <c r="N477" s="26"/>
      <c r="O477" s="26"/>
      <c r="P477" s="26" t="s">
        <v>83</v>
      </c>
      <c r="Q477" s="26"/>
      <c r="R477" s="26" t="str">
        <f t="shared" ref="R477" si="68">IF(E477="no", H477, CONCATENATE(G477,". &lt;br&gt;",H477))</f>
        <v>Specify the active ingredient that has the salt:</v>
      </c>
      <c r="S477" s="26" t="s">
        <v>1414</v>
      </c>
      <c r="T477" s="26"/>
      <c r="U477" s="26"/>
      <c r="V477" s="29"/>
      <c r="W477" s="29"/>
      <c r="X477" s="29"/>
      <c r="Y477" s="29"/>
      <c r="Z477" s="29"/>
    </row>
    <row r="478" spans="1:26" ht="15.75" hidden="1" outlineLevel="1" x14ac:dyDescent="0.2">
      <c r="A478" s="8"/>
      <c r="B478" s="26"/>
      <c r="C478" s="125" t="s">
        <v>1421</v>
      </c>
      <c r="D478" s="26" t="s">
        <v>1422</v>
      </c>
      <c r="E478" s="67" t="s">
        <v>83</v>
      </c>
      <c r="F478" s="67">
        <v>1</v>
      </c>
      <c r="G478" s="67">
        <f>IF(E478="no", G476, IF(F478=F476, G476+1, 1))</f>
        <v>4</v>
      </c>
      <c r="H478" s="12" t="s">
        <v>1423</v>
      </c>
      <c r="I478" s="26"/>
      <c r="J478" s="26"/>
      <c r="K478" s="26"/>
      <c r="L478" s="26"/>
      <c r="M478" s="26"/>
      <c r="N478" s="26"/>
      <c r="O478" s="26"/>
      <c r="P478" s="26" t="s">
        <v>83</v>
      </c>
      <c r="Q478" s="26"/>
      <c r="R478" s="26" t="str">
        <f t="shared" si="65"/>
        <v>4. &lt;br&gt;&lt;b&gt;[Observe]: &lt;/b&gt;&lt;b&gt;Pack type&lt;/b&gt; for &lt;font color=blue&gt;${brand}:</v>
      </c>
      <c r="S478" s="26" t="s">
        <v>1424</v>
      </c>
      <c r="T478" s="26"/>
      <c r="U478" s="26"/>
      <c r="V478" s="29"/>
      <c r="W478" s="29"/>
      <c r="X478" s="29"/>
      <c r="Y478" s="29"/>
      <c r="Z478" s="29"/>
    </row>
    <row r="479" spans="1:26" ht="15.75" hidden="1" outlineLevel="1" x14ac:dyDescent="0.2">
      <c r="A479" s="8"/>
      <c r="B479" s="29"/>
      <c r="C479" s="125" t="s">
        <v>144</v>
      </c>
      <c r="D479" s="26" t="s">
        <v>1425</v>
      </c>
      <c r="E479" s="67" t="s">
        <v>91</v>
      </c>
      <c r="F479" s="67">
        <v>1</v>
      </c>
      <c r="G479" s="67">
        <f t="shared" si="66"/>
        <v>4</v>
      </c>
      <c r="H479" s="12" t="s">
        <v>1426</v>
      </c>
      <c r="I479" s="26"/>
      <c r="J479" s="26"/>
      <c r="K479" s="26"/>
      <c r="L479" s="26" t="s">
        <v>1427</v>
      </c>
      <c r="M479" s="26"/>
      <c r="N479" s="26"/>
      <c r="O479" s="26"/>
      <c r="P479" s="26" t="s">
        <v>83</v>
      </c>
      <c r="Q479" s="26"/>
      <c r="R479" s="26" t="str">
        <f t="shared" si="65"/>
        <v>Specify other packaging type:</v>
      </c>
      <c r="S479" s="26" t="s">
        <v>1428</v>
      </c>
      <c r="T479" s="26"/>
      <c r="U479" s="26"/>
      <c r="V479" s="29"/>
      <c r="W479" s="29"/>
      <c r="X479" s="29"/>
      <c r="Y479" s="29"/>
      <c r="Z479" s="29"/>
    </row>
    <row r="480" spans="1:26" ht="15.75" hidden="1" outlineLevel="1" x14ac:dyDescent="0.2">
      <c r="A480" s="8"/>
      <c r="B480" s="29"/>
      <c r="C480" s="125" t="s">
        <v>109</v>
      </c>
      <c r="D480" s="26" t="s">
        <v>1429</v>
      </c>
      <c r="E480" s="67" t="s">
        <v>91</v>
      </c>
      <c r="F480" s="67">
        <v>1</v>
      </c>
      <c r="G480" s="67">
        <f t="shared" si="66"/>
        <v>4</v>
      </c>
      <c r="H480" s="12"/>
      <c r="I480" s="26"/>
      <c r="J480" s="26"/>
      <c r="K480" s="26"/>
      <c r="L480" s="26"/>
      <c r="M480" s="26" t="s">
        <v>1430</v>
      </c>
      <c r="N480" s="26"/>
      <c r="O480" s="26"/>
      <c r="P480" s="26"/>
      <c r="Q480" s="26"/>
      <c r="R480" s="26"/>
      <c r="S480" s="26"/>
      <c r="T480" s="26"/>
      <c r="U480" s="26"/>
      <c r="V480" s="29"/>
      <c r="W480" s="29"/>
      <c r="X480" s="29"/>
      <c r="Y480" s="29"/>
      <c r="Z480" s="29"/>
    </row>
    <row r="481" spans="1:26" ht="25.5" hidden="1" outlineLevel="1" x14ac:dyDescent="0.2">
      <c r="A481" s="8"/>
      <c r="B481" s="26"/>
      <c r="C481" s="125" t="s">
        <v>350</v>
      </c>
      <c r="D481" s="26" t="s">
        <v>1431</v>
      </c>
      <c r="E481" s="67" t="s">
        <v>83</v>
      </c>
      <c r="F481" s="67">
        <v>1</v>
      </c>
      <c r="G481" s="67">
        <f t="shared" si="66"/>
        <v>5</v>
      </c>
      <c r="H481" s="12" t="s">
        <v>1432</v>
      </c>
      <c r="I481" s="26"/>
      <c r="J481" s="26"/>
      <c r="K481" s="26"/>
      <c r="L481" s="26" t="s">
        <v>1433</v>
      </c>
      <c r="M481" s="26"/>
      <c r="N481" s="26" t="s">
        <v>764</v>
      </c>
      <c r="O481" s="26"/>
      <c r="P481" s="26" t="s">
        <v>83</v>
      </c>
      <c r="Q481" s="26"/>
      <c r="R481" s="26" t="str">
        <f t="shared" ref="R481:R491" si="69">IF(E481="no", H481, CONCATENATE(G481,". &lt;br&gt;",H481))</f>
        <v>5. &lt;br&gt;&lt;b&gt;[Observe]: &lt;/b&gt;Number of &lt;font color=blue&gt;${a3_lbl}&lt;/font&gt; in each &lt;font color=blue&gt;${packageType_label}&lt;/font&gt;</v>
      </c>
      <c r="S481" s="26" t="s">
        <v>1434</v>
      </c>
      <c r="T481" s="26"/>
      <c r="U481" s="26"/>
      <c r="V481" s="29"/>
      <c r="W481" s="29"/>
      <c r="X481" s="29"/>
      <c r="Y481" s="29"/>
      <c r="Z481" s="29"/>
    </row>
    <row r="482" spans="1:26" ht="25.5" hidden="1" outlineLevel="1" x14ac:dyDescent="0.2">
      <c r="A482" s="8"/>
      <c r="B482" s="29"/>
      <c r="C482" s="125" t="s">
        <v>350</v>
      </c>
      <c r="D482" s="26" t="s">
        <v>1435</v>
      </c>
      <c r="E482" s="67" t="s">
        <v>83</v>
      </c>
      <c r="F482" s="67">
        <v>1</v>
      </c>
      <c r="G482" s="67" t="s">
        <v>1436</v>
      </c>
      <c r="H482" s="12" t="s">
        <v>1437</v>
      </c>
      <c r="I482" s="26"/>
      <c r="J482" s="26"/>
      <c r="K482" s="26"/>
      <c r="L482" s="26" t="s">
        <v>1438</v>
      </c>
      <c r="M482" s="26"/>
      <c r="N482" s="26" t="s">
        <v>764</v>
      </c>
      <c r="O482" s="26"/>
      <c r="P482" s="26" t="s">
        <v>83</v>
      </c>
      <c r="Q482" s="26"/>
      <c r="R482" s="26" t="str">
        <f t="shared" si="69"/>
        <v>5. &lt;br&gt;&lt;b&gt;[Observe]: &lt;/b&gt;Number of loose  &lt;font color=blue&gt;${a3_lbl}&lt;/font&gt; in a pot, tin, or other container</v>
      </c>
      <c r="S482" s="26" t="s">
        <v>1439</v>
      </c>
      <c r="T482" s="26"/>
      <c r="U482" s="26"/>
      <c r="V482" s="29"/>
      <c r="W482" s="29"/>
      <c r="X482" s="29"/>
      <c r="Y482" s="29"/>
      <c r="Z482" s="29"/>
    </row>
    <row r="483" spans="1:26" ht="15.75" hidden="1" outlineLevel="1" x14ac:dyDescent="0.2">
      <c r="A483" s="8"/>
      <c r="B483" s="26"/>
      <c r="C483" s="125" t="s">
        <v>350</v>
      </c>
      <c r="D483" s="26" t="s">
        <v>1440</v>
      </c>
      <c r="E483" s="67" t="s">
        <v>83</v>
      </c>
      <c r="F483" s="67">
        <v>1</v>
      </c>
      <c r="G483" s="67" t="s">
        <v>1436</v>
      </c>
      <c r="H483" s="12" t="s">
        <v>1441</v>
      </c>
      <c r="I483" s="26"/>
      <c r="J483" s="26"/>
      <c r="K483" s="26"/>
      <c r="L483" s="26" t="s">
        <v>1442</v>
      </c>
      <c r="M483" s="26"/>
      <c r="N483" s="26" t="s">
        <v>764</v>
      </c>
      <c r="O483" s="26"/>
      <c r="P483" s="26" t="s">
        <v>83</v>
      </c>
      <c r="Q483" s="26"/>
      <c r="R483" s="26" t="str">
        <f t="shared" si="69"/>
        <v>5. &lt;br&gt;&lt;b&gt;[Observe]: &lt;/b&gt;Volume of the bottle:</v>
      </c>
      <c r="S483" s="26" t="s">
        <v>1443</v>
      </c>
      <c r="T483" s="26"/>
      <c r="U483" s="26"/>
      <c r="V483" s="29"/>
      <c r="W483" s="29"/>
      <c r="X483" s="29"/>
      <c r="Y483" s="29"/>
      <c r="Z483" s="29"/>
    </row>
    <row r="484" spans="1:26" ht="15.75" hidden="1" outlineLevel="1" x14ac:dyDescent="0.2">
      <c r="A484" s="8"/>
      <c r="B484" s="26"/>
      <c r="C484" s="125" t="s">
        <v>350</v>
      </c>
      <c r="D484" s="26" t="s">
        <v>1444</v>
      </c>
      <c r="E484" s="67" t="s">
        <v>83</v>
      </c>
      <c r="F484" s="67">
        <v>1</v>
      </c>
      <c r="G484" s="67" t="s">
        <v>1436</v>
      </c>
      <c r="H484" s="12" t="s">
        <v>1445</v>
      </c>
      <c r="I484" s="26"/>
      <c r="J484" s="26"/>
      <c r="K484" s="26"/>
      <c r="L484" s="26" t="s">
        <v>1446</v>
      </c>
      <c r="M484" s="26"/>
      <c r="N484" s="26" t="s">
        <v>764</v>
      </c>
      <c r="O484" s="26"/>
      <c r="P484" s="26" t="s">
        <v>83</v>
      </c>
      <c r="Q484" s="26"/>
      <c r="R484" s="26" t="str">
        <f t="shared" si="69"/>
        <v xml:space="preserve">5. &lt;br&gt;&lt;b&gt;[Observe]: &lt;/b&gt;Volume of the ampoule/ vial: </v>
      </c>
      <c r="S484" s="26" t="s">
        <v>1447</v>
      </c>
      <c r="T484" s="26"/>
      <c r="U484" s="26"/>
      <c r="V484" s="29"/>
      <c r="W484" s="29"/>
      <c r="X484" s="29"/>
      <c r="Y484" s="29"/>
      <c r="Z484" s="29"/>
    </row>
    <row r="485" spans="1:26" ht="15.75" hidden="1" outlineLevel="1" x14ac:dyDescent="0.2">
      <c r="A485" s="8"/>
      <c r="B485" s="29"/>
      <c r="C485" s="125" t="s">
        <v>350</v>
      </c>
      <c r="D485" s="26" t="s">
        <v>1448</v>
      </c>
      <c r="E485" s="67" t="s">
        <v>83</v>
      </c>
      <c r="F485" s="67">
        <v>1</v>
      </c>
      <c r="G485" s="67" t="s">
        <v>1436</v>
      </c>
      <c r="H485" s="12" t="s">
        <v>1449</v>
      </c>
      <c r="I485" s="26"/>
      <c r="J485" s="26"/>
      <c r="K485" s="26"/>
      <c r="L485" s="26" t="s">
        <v>1450</v>
      </c>
      <c r="M485" s="26"/>
      <c r="N485" s="26" t="s">
        <v>764</v>
      </c>
      <c r="O485" s="26"/>
      <c r="P485" s="26" t="s">
        <v>83</v>
      </c>
      <c r="Q485" s="26"/>
      <c r="R485" s="26" t="str">
        <f t="shared" si="69"/>
        <v>5. &lt;br&gt;&lt;b&gt;[Observe]: &lt;/b&gt;Number of sachets</v>
      </c>
      <c r="S485" s="26" t="s">
        <v>1451</v>
      </c>
      <c r="T485" s="26"/>
      <c r="U485" s="26"/>
      <c r="V485" s="29"/>
      <c r="W485" s="29"/>
      <c r="X485" s="29"/>
      <c r="Y485" s="29"/>
      <c r="Z485" s="29"/>
    </row>
    <row r="486" spans="1:26" ht="25.5" hidden="1" outlineLevel="1" x14ac:dyDescent="0.2">
      <c r="A486" s="8"/>
      <c r="B486" s="29"/>
      <c r="C486" s="125" t="s">
        <v>1265</v>
      </c>
      <c r="D486" s="26" t="s">
        <v>1452</v>
      </c>
      <c r="E486" s="67" t="s">
        <v>83</v>
      </c>
      <c r="F486" s="67">
        <v>1</v>
      </c>
      <c r="G486" s="67" t="s">
        <v>1436</v>
      </c>
      <c r="H486" s="12" t="s">
        <v>1453</v>
      </c>
      <c r="I486" s="26"/>
      <c r="J486" s="26"/>
      <c r="K486" s="26"/>
      <c r="L486" s="26" t="s">
        <v>1454</v>
      </c>
      <c r="M486" s="26"/>
      <c r="N486" s="26"/>
      <c r="O486" s="26"/>
      <c r="P486" s="26" t="s">
        <v>83</v>
      </c>
      <c r="Q486" s="26"/>
      <c r="R486" s="26" t="str">
        <f t="shared" si="69"/>
        <v>5. &lt;br&gt;&lt;b&gt;[Observe]: &lt;/b&gt;Amount/number in each &lt;font color=blue&gt;${packageType_other}</v>
      </c>
      <c r="S486" s="26" t="s">
        <v>1455</v>
      </c>
      <c r="T486" s="26"/>
      <c r="U486" s="26"/>
      <c r="V486" s="29"/>
      <c r="W486" s="29"/>
      <c r="X486" s="29"/>
      <c r="Y486" s="29"/>
      <c r="Z486" s="29"/>
    </row>
    <row r="487" spans="1:26" ht="38.25" hidden="1" outlineLevel="1" x14ac:dyDescent="0.2">
      <c r="A487" s="8"/>
      <c r="B487" s="29"/>
      <c r="C487" s="125" t="s">
        <v>76</v>
      </c>
      <c r="D487" s="26" t="s">
        <v>1456</v>
      </c>
      <c r="E487" s="67" t="s">
        <v>91</v>
      </c>
      <c r="F487" s="67">
        <v>1</v>
      </c>
      <c r="G487" s="67" t="str">
        <f t="shared" ref="G487:G529" si="70">IF(E487="no", G486, IF(F487=F486, G486+1, 1))</f>
        <v>5</v>
      </c>
      <c r="H487" s="12" t="s">
        <v>1457</v>
      </c>
      <c r="I487" s="26"/>
      <c r="J487" s="26"/>
      <c r="K487" s="26"/>
      <c r="L487" s="26" t="s">
        <v>1458</v>
      </c>
      <c r="M487" s="26"/>
      <c r="N487" s="26"/>
      <c r="O487" s="26"/>
      <c r="P487" s="26"/>
      <c r="Q487" s="26"/>
      <c r="R487" s="26" t="str">
        <f t="shared" si="69"/>
        <v>&lt;font color=red&gt;&lt;b&gt;Interviewer: &lt;/b&gt;
&lt;i&gt;Confirm &lt;font color=blue&gt;${packageSize_blisterpacks}&lt;/font&gt; is the correct number&lt;/i&gt;</v>
      </c>
      <c r="S487" s="26" t="s">
        <v>1459</v>
      </c>
      <c r="T487" s="26"/>
      <c r="U487" s="26"/>
      <c r="V487" s="29"/>
      <c r="W487" s="29"/>
      <c r="X487" s="29"/>
      <c r="Y487" s="29"/>
      <c r="Z487" s="29"/>
    </row>
    <row r="488" spans="1:26" ht="38.25" hidden="1" outlineLevel="1" x14ac:dyDescent="0.2">
      <c r="A488" s="8"/>
      <c r="B488" s="29"/>
      <c r="C488" s="125" t="s">
        <v>76</v>
      </c>
      <c r="D488" s="26" t="s">
        <v>1460</v>
      </c>
      <c r="E488" s="67" t="s">
        <v>91</v>
      </c>
      <c r="F488" s="67">
        <v>1</v>
      </c>
      <c r="G488" s="67" t="str">
        <f t="shared" si="70"/>
        <v>5</v>
      </c>
      <c r="H488" s="12" t="s">
        <v>1461</v>
      </c>
      <c r="I488" s="26"/>
      <c r="J488" s="26"/>
      <c r="K488" s="26"/>
      <c r="L488" s="26" t="s">
        <v>1462</v>
      </c>
      <c r="M488" s="26"/>
      <c r="N488" s="26"/>
      <c r="O488" s="26"/>
      <c r="P488" s="26"/>
      <c r="Q488" s="26"/>
      <c r="R488" s="26" t="str">
        <f t="shared" si="69"/>
        <v>&lt;font color=red&gt;&lt;b&gt;Interviewer: &lt;/b&gt;
&lt;i&gt;Confirm &lt;font color=blue&gt;${packageSize_loose}&lt;/font&gt; is the correct number&lt;/i&gt;</v>
      </c>
      <c r="S488" s="26" t="s">
        <v>1463</v>
      </c>
      <c r="T488" s="26"/>
      <c r="U488" s="26"/>
      <c r="V488" s="29"/>
      <c r="W488" s="29"/>
      <c r="X488" s="29"/>
      <c r="Y488" s="29"/>
      <c r="Z488" s="29"/>
    </row>
    <row r="489" spans="1:26" ht="38.25" hidden="1" outlineLevel="1" x14ac:dyDescent="0.2">
      <c r="A489" s="8"/>
      <c r="B489" s="29"/>
      <c r="C489" s="125" t="s">
        <v>76</v>
      </c>
      <c r="D489" s="26" t="s">
        <v>1464</v>
      </c>
      <c r="E489" s="67" t="s">
        <v>91</v>
      </c>
      <c r="F489" s="67">
        <v>1</v>
      </c>
      <c r="G489" s="67" t="str">
        <f t="shared" si="70"/>
        <v>5</v>
      </c>
      <c r="H489" s="12" t="s">
        <v>1465</v>
      </c>
      <c r="I489" s="26"/>
      <c r="J489" s="26"/>
      <c r="K489" s="26"/>
      <c r="L489" s="26" t="s">
        <v>1466</v>
      </c>
      <c r="M489" s="26"/>
      <c r="N489" s="26"/>
      <c r="O489" s="26"/>
      <c r="P489" s="26"/>
      <c r="Q489" s="26"/>
      <c r="R489" s="26" t="str">
        <f t="shared" si="69"/>
        <v>&lt;font color=red&gt;&lt;b&gt;Interviewer: &lt;/b&gt;
&lt;i&gt;Confirm &lt;font color=blue&gt;${packageSize_bottle}&lt;/font&gt; is the correct amount&lt;/i&gt;</v>
      </c>
      <c r="S489" s="26" t="s">
        <v>1467</v>
      </c>
      <c r="T489" s="26"/>
      <c r="U489" s="26"/>
      <c r="V489" s="29"/>
      <c r="W489" s="29"/>
      <c r="X489" s="29"/>
      <c r="Y489" s="29"/>
      <c r="Z489" s="29"/>
    </row>
    <row r="490" spans="1:26" ht="25.5" hidden="1" outlineLevel="1" x14ac:dyDescent="0.2">
      <c r="A490" s="8"/>
      <c r="B490" s="29"/>
      <c r="C490" s="125" t="s">
        <v>76</v>
      </c>
      <c r="D490" s="26" t="s">
        <v>1468</v>
      </c>
      <c r="E490" s="67" t="s">
        <v>91</v>
      </c>
      <c r="F490" s="67">
        <v>1</v>
      </c>
      <c r="G490" s="67" t="str">
        <f t="shared" si="70"/>
        <v>5</v>
      </c>
      <c r="H490" s="12" t="s">
        <v>1469</v>
      </c>
      <c r="I490" s="26"/>
      <c r="J490" s="26"/>
      <c r="K490" s="26"/>
      <c r="L490" s="26" t="s">
        <v>1470</v>
      </c>
      <c r="M490" s="26"/>
      <c r="N490" s="26"/>
      <c r="O490" s="26"/>
      <c r="P490" s="26"/>
      <c r="Q490" s="26"/>
      <c r="R490" s="26" t="str">
        <f t="shared" si="69"/>
        <v>&lt;font color=red&gt;&lt;b&gt;Interviewer: &lt;/b&gt;
&lt;i&gt;Confirm &lt;font color=blue&gt;${packageSize_vial}&lt;/font&gt; is the correct amount&lt;/i&gt;</v>
      </c>
      <c r="S490" s="26" t="s">
        <v>1471</v>
      </c>
      <c r="T490" s="26"/>
      <c r="U490" s="26"/>
      <c r="V490" s="29"/>
      <c r="W490" s="29"/>
      <c r="X490" s="29"/>
      <c r="Y490" s="29"/>
      <c r="Z490" s="29"/>
    </row>
    <row r="491" spans="1:26" ht="38.25" hidden="1" outlineLevel="1" x14ac:dyDescent="0.2">
      <c r="A491" s="8"/>
      <c r="B491" s="29"/>
      <c r="C491" s="125" t="s">
        <v>76</v>
      </c>
      <c r="D491" s="26" t="s">
        <v>1472</v>
      </c>
      <c r="E491" s="67" t="s">
        <v>91</v>
      </c>
      <c r="F491" s="67">
        <v>1</v>
      </c>
      <c r="G491" s="67" t="str">
        <f t="shared" si="70"/>
        <v>5</v>
      </c>
      <c r="H491" s="12" t="s">
        <v>1473</v>
      </c>
      <c r="I491" s="26"/>
      <c r="J491" s="26"/>
      <c r="K491" s="26"/>
      <c r="L491" s="26" t="s">
        <v>1474</v>
      </c>
      <c r="M491" s="26"/>
      <c r="N491" s="26"/>
      <c r="O491" s="26"/>
      <c r="P491" s="26"/>
      <c r="Q491" s="26"/>
      <c r="R491" s="26" t="str">
        <f t="shared" si="69"/>
        <v>&lt;font color=red&gt;&lt;b&gt;Interviewer: &lt;/b&gt;
&lt;i&gt;Confirm &lt;font color=blue&gt;${packageSize_sachets}&lt;/font&gt; is the correct amount&lt;/i&gt;</v>
      </c>
      <c r="S491" s="26" t="s">
        <v>1475</v>
      </c>
      <c r="T491" s="26"/>
      <c r="U491" s="26"/>
      <c r="V491" s="29"/>
      <c r="W491" s="29"/>
      <c r="X491" s="29"/>
      <c r="Y491" s="29"/>
      <c r="Z491" s="29"/>
    </row>
    <row r="492" spans="1:26" ht="110.25" outlineLevel="1" x14ac:dyDescent="0.2">
      <c r="A492" s="57" t="s">
        <v>438</v>
      </c>
      <c r="B492" s="36"/>
      <c r="C492" s="123" t="s">
        <v>89</v>
      </c>
      <c r="D492" s="12" t="s">
        <v>1476</v>
      </c>
      <c r="E492" s="55" t="s">
        <v>91</v>
      </c>
      <c r="F492" s="55">
        <v>1</v>
      </c>
      <c r="G492" s="67" t="str">
        <f t="shared" si="70"/>
        <v>5</v>
      </c>
      <c r="H492" s="12"/>
      <c r="I492" s="12"/>
      <c r="J492" s="12"/>
      <c r="K492" s="12"/>
      <c r="L492" s="12"/>
      <c r="M492" s="12"/>
      <c r="N492" s="12"/>
      <c r="O492" s="12"/>
      <c r="P492" s="12"/>
      <c r="Q492" s="12"/>
      <c r="R492" s="12"/>
      <c r="S492" s="12"/>
      <c r="T492" s="12"/>
      <c r="U492" s="12"/>
      <c r="V492" s="36"/>
      <c r="W492" s="36"/>
      <c r="X492" s="36"/>
      <c r="Y492" s="36"/>
      <c r="Z492" s="36"/>
    </row>
    <row r="493" spans="1:26" ht="38.25" hidden="1" outlineLevel="1" x14ac:dyDescent="0.2">
      <c r="A493" s="53"/>
      <c r="B493" s="36"/>
      <c r="C493" s="123" t="s">
        <v>451</v>
      </c>
      <c r="D493" s="12" t="s">
        <v>1477</v>
      </c>
      <c r="E493" s="55" t="s">
        <v>83</v>
      </c>
      <c r="F493" s="55">
        <v>1</v>
      </c>
      <c r="G493" s="67">
        <f t="shared" si="70"/>
        <v>6</v>
      </c>
      <c r="H493" s="12" t="s">
        <v>1478</v>
      </c>
      <c r="I493" s="12"/>
      <c r="J493" s="12"/>
      <c r="K493" s="12"/>
      <c r="L493" s="12"/>
      <c r="M493" s="12"/>
      <c r="N493" s="12"/>
      <c r="O493" s="12"/>
      <c r="P493" s="12" t="s">
        <v>83</v>
      </c>
      <c r="Q493" s="12"/>
      <c r="R493" s="12" t="str">
        <f t="shared" ref="R493:R495" si="71">IF(E493="no", H493, CONCATENATE(G493,". &lt;br&gt;",H493))</f>
        <v>6. &lt;br&gt;&lt;b&gt;[Ask]:&lt;/b&gt; Was &lt;font color=blue&gt;${brand} &lt;/font&gt; ever &lt;b&gt;out of stock&lt;/b&gt; in the &lt;b&gt;last 3 months&lt;/b&gt;?</v>
      </c>
      <c r="S493" s="12" t="s">
        <v>1479</v>
      </c>
      <c r="T493" s="12"/>
      <c r="U493" s="12"/>
      <c r="V493" s="36"/>
      <c r="W493" s="36"/>
      <c r="X493" s="36"/>
      <c r="Y493" s="36"/>
      <c r="Z493" s="36"/>
    </row>
    <row r="494" spans="1:26" ht="25.5" hidden="1" outlineLevel="1" x14ac:dyDescent="0.2">
      <c r="A494" s="53"/>
      <c r="B494" s="9"/>
      <c r="C494" s="54" t="s">
        <v>451</v>
      </c>
      <c r="D494" s="130" t="s">
        <v>1480</v>
      </c>
      <c r="E494" s="143" t="s">
        <v>83</v>
      </c>
      <c r="F494" s="143">
        <v>1</v>
      </c>
      <c r="G494" s="67">
        <f t="shared" si="70"/>
        <v>7</v>
      </c>
      <c r="H494" s="130" t="s">
        <v>1481</v>
      </c>
      <c r="I494" s="130"/>
      <c r="J494" s="130"/>
      <c r="K494" s="130"/>
      <c r="L494" s="130"/>
      <c r="M494" s="130"/>
      <c r="N494" s="130"/>
      <c r="O494" s="130"/>
      <c r="P494" s="130" t="s">
        <v>83</v>
      </c>
      <c r="Q494" s="130"/>
      <c r="R494" s="130" t="str">
        <f t="shared" si="71"/>
        <v xml:space="preserve">7. &lt;br&gt;&lt;b&gt;[Observe]: &lt;/b&gt;Check the expiration date. &lt;br&gt;Has this product expired? </v>
      </c>
      <c r="S494" s="130" t="s">
        <v>1482</v>
      </c>
      <c r="T494" s="130"/>
      <c r="U494" s="130"/>
      <c r="V494" s="144"/>
      <c r="W494" s="144"/>
      <c r="X494" s="144"/>
      <c r="Y494" s="144"/>
      <c r="Z494" s="144"/>
    </row>
    <row r="495" spans="1:26" ht="89.25" hidden="1" outlineLevel="1" x14ac:dyDescent="0.2">
      <c r="A495" s="53"/>
      <c r="B495" s="9" t="s">
        <v>1483</v>
      </c>
      <c r="C495" s="54" t="s">
        <v>451</v>
      </c>
      <c r="D495" s="130" t="s">
        <v>1484</v>
      </c>
      <c r="E495" s="143"/>
      <c r="F495" s="143">
        <v>1</v>
      </c>
      <c r="G495" s="67">
        <f t="shared" si="70"/>
        <v>8</v>
      </c>
      <c r="H495" s="130" t="s">
        <v>1485</v>
      </c>
      <c r="I495" s="130"/>
      <c r="J495" s="130"/>
      <c r="K495" s="130"/>
      <c r="L495" s="130"/>
      <c r="M495" s="130"/>
      <c r="N495" s="130"/>
      <c r="O495" s="130"/>
      <c r="P495" s="130" t="s">
        <v>1486</v>
      </c>
      <c r="Q495" s="130"/>
      <c r="R495" s="130" t="str">
        <f t="shared" si="71"/>
        <v>8. &lt;br&gt;&lt;b&gt;[Observe]: &lt;/b&gt;Does the product have a registration rumber from the national regulatory authority?</v>
      </c>
      <c r="S495" s="130" t="s">
        <v>1487</v>
      </c>
      <c r="T495" s="130" t="s">
        <v>1488</v>
      </c>
      <c r="U495" s="130"/>
      <c r="V495" s="144"/>
      <c r="W495" s="144"/>
      <c r="X495" s="144"/>
      <c r="Y495" s="144"/>
      <c r="Z495" s="144"/>
    </row>
    <row r="496" spans="1:26" ht="15.75" hidden="1" outlineLevel="1" x14ac:dyDescent="0.2">
      <c r="A496" s="131"/>
      <c r="B496" s="36"/>
      <c r="C496" s="54" t="s">
        <v>174</v>
      </c>
      <c r="D496" s="12" t="s">
        <v>1476</v>
      </c>
      <c r="E496" s="143" t="s">
        <v>91</v>
      </c>
      <c r="F496" s="143">
        <v>1</v>
      </c>
      <c r="G496" s="67">
        <f t="shared" si="70"/>
        <v>8</v>
      </c>
      <c r="H496" s="130"/>
      <c r="I496" s="130"/>
      <c r="J496" s="130"/>
      <c r="K496" s="130"/>
      <c r="L496" s="130"/>
      <c r="M496" s="130"/>
      <c r="N496" s="130"/>
      <c r="O496" s="130"/>
      <c r="P496" s="130"/>
      <c r="Q496" s="130"/>
      <c r="R496" s="130"/>
      <c r="S496" s="130"/>
      <c r="T496" s="130"/>
      <c r="U496" s="130"/>
      <c r="V496" s="144"/>
      <c r="W496" s="144"/>
      <c r="X496" s="144"/>
      <c r="Y496" s="144"/>
      <c r="Z496" s="144"/>
    </row>
    <row r="497" spans="1:26" ht="252" outlineLevel="1" x14ac:dyDescent="0.2">
      <c r="A497" s="57" t="s">
        <v>1489</v>
      </c>
      <c r="B497" s="36"/>
      <c r="C497" s="123" t="s">
        <v>89</v>
      </c>
      <c r="D497" s="12" t="s">
        <v>1490</v>
      </c>
      <c r="E497" s="55" t="s">
        <v>91</v>
      </c>
      <c r="F497" s="55">
        <v>1</v>
      </c>
      <c r="G497" s="67">
        <f t="shared" si="70"/>
        <v>8</v>
      </c>
      <c r="H497" s="12" t="s">
        <v>1491</v>
      </c>
      <c r="I497" s="12"/>
      <c r="J497" s="12"/>
      <c r="K497" s="12"/>
      <c r="L497" s="12"/>
      <c r="M497" s="12"/>
      <c r="N497" s="12"/>
      <c r="O497" s="12"/>
      <c r="P497" s="12"/>
      <c r="Q497" s="12"/>
      <c r="R497" s="12" t="str">
        <f t="shared" ref="R497:R501" si="72">IF(E497="no", H497, CONCATENATE(G497,". &lt;br&gt;",H497))</f>
        <v xml:space="preserve">Volumes sold </v>
      </c>
      <c r="S497" s="12" t="s">
        <v>1492</v>
      </c>
      <c r="T497" s="12"/>
      <c r="U497" s="12"/>
      <c r="V497" s="36"/>
      <c r="W497" s="36"/>
      <c r="X497" s="36"/>
      <c r="Y497" s="36"/>
      <c r="Z497" s="36"/>
    </row>
    <row r="498" spans="1:26" ht="76.5" hidden="1" outlineLevel="1" x14ac:dyDescent="0.2">
      <c r="A498" s="53"/>
      <c r="B498" s="36"/>
      <c r="C498" s="123" t="s">
        <v>350</v>
      </c>
      <c r="D498" s="12" t="s">
        <v>1493</v>
      </c>
      <c r="E498" s="55" t="s">
        <v>83</v>
      </c>
      <c r="F498" s="55">
        <v>1</v>
      </c>
      <c r="G498" s="67">
        <f t="shared" si="70"/>
        <v>9</v>
      </c>
      <c r="H498" s="12" t="s">
        <v>1494</v>
      </c>
      <c r="I498" s="12"/>
      <c r="J498" s="12"/>
      <c r="K498" s="12" t="s">
        <v>1495</v>
      </c>
      <c r="L498" s="12" t="s">
        <v>1496</v>
      </c>
      <c r="M498" s="12"/>
      <c r="N498" s="12" t="s">
        <v>356</v>
      </c>
      <c r="O498" s="12"/>
      <c r="P498" s="12" t="s">
        <v>83</v>
      </c>
      <c r="Q498" s="12"/>
      <c r="R498" s="12" t="str">
        <f t="shared" si="72"/>
        <v xml:space="preserve">9. &lt;br&gt;&lt;b&gt;[Ask]:&lt;/b&gt; How many loose tablets of of &lt;font color=blue&gt;${brand}&lt;/font&gt; has this outlet has sold/distributed in the last 7 days to individual customers? 
</v>
      </c>
      <c r="S498" s="12" t="s">
        <v>1497</v>
      </c>
      <c r="T498" s="12"/>
      <c r="U498" s="12"/>
      <c r="V498" s="36"/>
      <c r="W498" s="36"/>
      <c r="X498" s="36"/>
      <c r="Y498" s="36"/>
      <c r="Z498" s="36"/>
    </row>
    <row r="499" spans="1:26" ht="51" hidden="1" outlineLevel="1" x14ac:dyDescent="0.2">
      <c r="A499" s="53"/>
      <c r="B499" s="36"/>
      <c r="C499" s="123" t="s">
        <v>76</v>
      </c>
      <c r="D499" s="12" t="s">
        <v>1498</v>
      </c>
      <c r="E499" s="55" t="s">
        <v>91</v>
      </c>
      <c r="F499" s="55">
        <v>1</v>
      </c>
      <c r="G499" s="67">
        <f t="shared" si="70"/>
        <v>9</v>
      </c>
      <c r="H499" s="12" t="s">
        <v>1499</v>
      </c>
      <c r="I499" s="12"/>
      <c r="J499" s="12"/>
      <c r="K499" s="12"/>
      <c r="L499" s="12" t="s">
        <v>1500</v>
      </c>
      <c r="M499" s="12"/>
      <c r="N499" s="12"/>
      <c r="O499" s="12"/>
      <c r="P499" s="12"/>
      <c r="Q499" s="12"/>
      <c r="R499" s="12" t="str">
        <f t="shared" si="72"/>
        <v>&lt;font color=red&gt;&lt;b&gt;Interviewer: &lt;/b&gt;
&lt;i&gt;Confirm &lt;font color=blue&gt;${amSold_unit}&lt;/font&gt; is the correct number of tablets sold in the last week&lt;/i&gt;</v>
      </c>
      <c r="S499" s="12" t="s">
        <v>1501</v>
      </c>
      <c r="T499" s="12"/>
      <c r="U499" s="12"/>
      <c r="V499" s="36"/>
      <c r="W499" s="36"/>
      <c r="X499" s="36"/>
      <c r="Y499" s="36"/>
      <c r="Z499" s="36"/>
    </row>
    <row r="500" spans="1:26" ht="76.5" hidden="1" outlineLevel="1" x14ac:dyDescent="0.2">
      <c r="A500" s="53"/>
      <c r="B500" s="36"/>
      <c r="C500" s="123" t="s">
        <v>350</v>
      </c>
      <c r="D500" s="12" t="s">
        <v>1502</v>
      </c>
      <c r="E500" s="55" t="s">
        <v>83</v>
      </c>
      <c r="F500" s="55">
        <v>1</v>
      </c>
      <c r="G500" s="67">
        <f t="shared" si="70"/>
        <v>10</v>
      </c>
      <c r="H500" s="12" t="s">
        <v>1503</v>
      </c>
      <c r="I500" s="12"/>
      <c r="J500" s="12"/>
      <c r="K500" s="12" t="s">
        <v>1495</v>
      </c>
      <c r="L500" s="12" t="s">
        <v>1504</v>
      </c>
      <c r="M500" s="12"/>
      <c r="N500" s="12" t="s">
        <v>356</v>
      </c>
      <c r="O500" s="12"/>
      <c r="P500" s="12" t="s">
        <v>83</v>
      </c>
      <c r="Q500" s="12"/>
      <c r="R500" s="12" t="str">
        <f t="shared" si="72"/>
        <v xml:space="preserve">10. &lt;br&gt;&lt;b&gt;[Ask]:&lt;/b&gt; How many  &lt;font color=blue&gt;${packageType_label} (s) of ${brand} &lt;/font&gt;has this outlet has &lt;b&gt;sold/distributed&lt;/b&gt; in the last 7 days to individual customers? 
</v>
      </c>
      <c r="S500" s="12" t="s">
        <v>1505</v>
      </c>
      <c r="T500" s="12"/>
      <c r="U500" s="12"/>
      <c r="V500" s="36"/>
      <c r="W500" s="36"/>
      <c r="X500" s="36"/>
      <c r="Y500" s="36"/>
      <c r="Z500" s="36"/>
    </row>
    <row r="501" spans="1:26" ht="51" hidden="1" outlineLevel="1" x14ac:dyDescent="0.2">
      <c r="A501" s="53"/>
      <c r="B501" s="36"/>
      <c r="C501" s="123" t="s">
        <v>76</v>
      </c>
      <c r="D501" s="12" t="s">
        <v>1506</v>
      </c>
      <c r="E501" s="55" t="s">
        <v>91</v>
      </c>
      <c r="F501" s="55">
        <v>1</v>
      </c>
      <c r="G501" s="67">
        <f t="shared" si="70"/>
        <v>10</v>
      </c>
      <c r="H501" s="12" t="s">
        <v>1507</v>
      </c>
      <c r="I501" s="12"/>
      <c r="J501" s="12"/>
      <c r="K501" s="12"/>
      <c r="L501" s="12" t="s">
        <v>1508</v>
      </c>
      <c r="M501" s="12"/>
      <c r="N501" s="12"/>
      <c r="O501" s="12"/>
      <c r="P501" s="12"/>
      <c r="Q501" s="12"/>
      <c r="R501" s="12" t="str">
        <f t="shared" si="72"/>
        <v>&lt;font color=red&gt;&lt;b&gt;Interviewer: &lt;/b&gt;
&lt;i&gt;Confirm &lt;font color=blue&gt;${amSold_pack}&lt;/font&gt; is the correct number of tablets sold in the last week&lt;/i&gt;</v>
      </c>
      <c r="S501" s="12" t="s">
        <v>1509</v>
      </c>
      <c r="T501" s="12"/>
      <c r="U501" s="12"/>
      <c r="V501" s="36"/>
      <c r="W501" s="36"/>
      <c r="X501" s="36"/>
      <c r="Y501" s="36"/>
      <c r="Z501" s="36"/>
    </row>
    <row r="502" spans="1:26" ht="15.75" hidden="1" outlineLevel="1" x14ac:dyDescent="0.2">
      <c r="A502" s="131"/>
      <c r="B502" s="36"/>
      <c r="C502" s="123" t="s">
        <v>174</v>
      </c>
      <c r="D502" s="12" t="s">
        <v>1490</v>
      </c>
      <c r="E502" s="55" t="s">
        <v>91</v>
      </c>
      <c r="F502" s="55">
        <v>1</v>
      </c>
      <c r="G502" s="67">
        <f t="shared" si="70"/>
        <v>10</v>
      </c>
      <c r="H502" s="12"/>
      <c r="I502" s="12"/>
      <c r="J502" s="12"/>
      <c r="K502" s="12"/>
      <c r="L502" s="12"/>
      <c r="M502" s="12"/>
      <c r="N502" s="12"/>
      <c r="O502" s="12"/>
      <c r="P502" s="12"/>
      <c r="Q502" s="12"/>
      <c r="R502" s="12"/>
      <c r="S502" s="12"/>
      <c r="T502" s="12"/>
      <c r="U502" s="12"/>
      <c r="V502" s="36"/>
      <c r="W502" s="36"/>
      <c r="X502" s="36"/>
      <c r="Y502" s="36"/>
      <c r="Z502" s="36"/>
    </row>
    <row r="503" spans="1:26" ht="157.5" outlineLevel="1" x14ac:dyDescent="0.2">
      <c r="A503" s="57" t="s">
        <v>1510</v>
      </c>
      <c r="B503" s="36"/>
      <c r="C503" s="123" t="s">
        <v>89</v>
      </c>
      <c r="D503" s="12" t="s">
        <v>1511</v>
      </c>
      <c r="E503" s="55" t="s">
        <v>91</v>
      </c>
      <c r="F503" s="55">
        <v>1</v>
      </c>
      <c r="G503" s="67">
        <f t="shared" si="70"/>
        <v>10</v>
      </c>
      <c r="H503" s="12" t="s">
        <v>1512</v>
      </c>
      <c r="I503" s="12"/>
      <c r="J503" s="12"/>
      <c r="K503" s="12"/>
      <c r="L503" s="12"/>
      <c r="M503" s="12"/>
      <c r="N503" s="12"/>
      <c r="O503" s="12"/>
      <c r="P503" s="12"/>
      <c r="Q503" s="12"/>
      <c r="R503" s="12" t="str">
        <f t="shared" ref="R503:R507" si="73">IF(E503="no", H503, CONCATENATE(G503,". &lt;br&gt;",H503))</f>
        <v xml:space="preserve">Retail price </v>
      </c>
      <c r="S503" s="12" t="s">
        <v>1513</v>
      </c>
      <c r="T503" s="12"/>
      <c r="U503" s="12"/>
      <c r="V503" s="36"/>
      <c r="W503" s="36"/>
      <c r="X503" s="36"/>
      <c r="Y503" s="36"/>
      <c r="Z503" s="36"/>
    </row>
    <row r="504" spans="1:26" ht="76.5" hidden="1" outlineLevel="1" x14ac:dyDescent="0.2">
      <c r="A504" s="53"/>
      <c r="B504" s="36"/>
      <c r="C504" s="123" t="s">
        <v>350</v>
      </c>
      <c r="D504" s="12" t="s">
        <v>1514</v>
      </c>
      <c r="E504" s="55" t="s">
        <v>83</v>
      </c>
      <c r="F504" s="55">
        <v>1</v>
      </c>
      <c r="G504" s="67">
        <f t="shared" si="70"/>
        <v>11</v>
      </c>
      <c r="H504" s="12" t="s">
        <v>1515</v>
      </c>
      <c r="I504" s="12" t="s">
        <v>1516</v>
      </c>
      <c r="J504" s="12"/>
      <c r="K504" s="12" t="s">
        <v>1517</v>
      </c>
      <c r="L504" s="12" t="s">
        <v>1496</v>
      </c>
      <c r="M504" s="12"/>
      <c r="N504" s="12" t="s">
        <v>356</v>
      </c>
      <c r="O504" s="12"/>
      <c r="P504" s="12" t="s">
        <v>83</v>
      </c>
      <c r="Q504" s="12"/>
      <c r="R504" s="12" t="str">
        <f t="shared" si="73"/>
        <v xml:space="preserve">11. &lt;br&gt;&lt;b&gt;[Ask]:&lt;/b&gt; What was the cost or price for one loose tablet of ${brand} for the most recent individual customer? </v>
      </c>
      <c r="S504" s="12" t="s">
        <v>1518</v>
      </c>
      <c r="T504" s="12" t="s">
        <v>1519</v>
      </c>
      <c r="U504" s="12"/>
      <c r="V504" s="36"/>
      <c r="W504" s="36"/>
      <c r="X504" s="36"/>
      <c r="Y504" s="36"/>
      <c r="Z504" s="36"/>
    </row>
    <row r="505" spans="1:26" ht="76.5" hidden="1" outlineLevel="1" x14ac:dyDescent="0.2">
      <c r="A505" s="53"/>
      <c r="B505" s="12"/>
      <c r="C505" s="123" t="s">
        <v>76</v>
      </c>
      <c r="D505" s="12" t="s">
        <v>1520</v>
      </c>
      <c r="E505" s="55" t="s">
        <v>91</v>
      </c>
      <c r="F505" s="55">
        <v>1</v>
      </c>
      <c r="G505" s="67">
        <f t="shared" si="70"/>
        <v>11</v>
      </c>
      <c r="H505" s="12" t="s">
        <v>1521</v>
      </c>
      <c r="I505" s="12"/>
      <c r="J505" s="12"/>
      <c r="K505" s="12"/>
      <c r="L505" s="12" t="s">
        <v>1522</v>
      </c>
      <c r="M505" s="12"/>
      <c r="N505" s="12"/>
      <c r="O505" s="12"/>
      <c r="P505" s="12"/>
      <c r="Q505" s="12"/>
      <c r="R505" s="12" t="str">
        <f t="shared" si="73"/>
        <v>&lt;font color=red&gt;&lt;b&gt;Interviewer: &lt;/b&gt;
&lt;i&gt;Confirm &lt;font color=blue&gt; &lt;font color=blue&gt;${packagePrice_unit}&lt;/font&gt;&lt;/font&gt; Naira is the correct price for the last &lt;font color=blue&gt; &lt;font color=blue&gt;${brand}&lt;/font&gt;&lt;/font&gt; tablet sold&lt;/i&gt;</v>
      </c>
      <c r="S505" s="12" t="s">
        <v>1523</v>
      </c>
      <c r="T505" s="12"/>
      <c r="U505" s="12"/>
      <c r="V505" s="36"/>
      <c r="W505" s="36"/>
      <c r="X505" s="36"/>
      <c r="Y505" s="36"/>
      <c r="Z505" s="36"/>
    </row>
    <row r="506" spans="1:26" ht="76.5" hidden="1" outlineLevel="1" x14ac:dyDescent="0.2">
      <c r="A506" s="53"/>
      <c r="B506" s="36"/>
      <c r="C506" s="123" t="s">
        <v>350</v>
      </c>
      <c r="D506" s="12" t="s">
        <v>1524</v>
      </c>
      <c r="E506" s="55" t="s">
        <v>83</v>
      </c>
      <c r="F506" s="55">
        <v>1</v>
      </c>
      <c r="G506" s="67">
        <f t="shared" si="70"/>
        <v>12</v>
      </c>
      <c r="H506" s="12" t="s">
        <v>1525</v>
      </c>
      <c r="I506" s="12" t="s">
        <v>1516</v>
      </c>
      <c r="J506" s="12"/>
      <c r="K506" s="12" t="s">
        <v>1517</v>
      </c>
      <c r="L506" s="12" t="s">
        <v>1504</v>
      </c>
      <c r="M506" s="12"/>
      <c r="N506" s="12" t="s">
        <v>356</v>
      </c>
      <c r="O506" s="12"/>
      <c r="P506" s="12" t="s">
        <v>83</v>
      </c>
      <c r="Q506" s="12"/>
      <c r="R506" s="12" t="str">
        <f t="shared" si="73"/>
        <v xml:space="preserve">12. &lt;br&gt;&lt;b&gt;[Ask]:&lt;/b&gt; What was the cost for one &lt;font color=blue&gt;${packageType_label}&lt;/font&gt; of  &lt;font color=blue&gt;${brand}&lt;/font&gt; for the most recent sale to an individual customer? </v>
      </c>
      <c r="S506" s="12" t="s">
        <v>1526</v>
      </c>
      <c r="T506" s="12" t="s">
        <v>1519</v>
      </c>
      <c r="U506" s="12"/>
      <c r="V506" s="36"/>
      <c r="W506" s="36"/>
      <c r="X506" s="36"/>
      <c r="Y506" s="36"/>
      <c r="Z506" s="36"/>
    </row>
    <row r="507" spans="1:26" ht="76.5" hidden="1" outlineLevel="1" x14ac:dyDescent="0.2">
      <c r="A507" s="53"/>
      <c r="B507" s="12"/>
      <c r="C507" s="123" t="s">
        <v>76</v>
      </c>
      <c r="D507" s="12" t="s">
        <v>1527</v>
      </c>
      <c r="E507" s="55" t="s">
        <v>91</v>
      </c>
      <c r="F507" s="55">
        <v>1</v>
      </c>
      <c r="G507" s="67">
        <f t="shared" si="70"/>
        <v>12</v>
      </c>
      <c r="H507" s="12" t="s">
        <v>1528</v>
      </c>
      <c r="I507" s="12"/>
      <c r="J507" s="12"/>
      <c r="K507" s="12"/>
      <c r="L507" s="12" t="s">
        <v>1522</v>
      </c>
      <c r="M507" s="12"/>
      <c r="N507" s="12"/>
      <c r="O507" s="12"/>
      <c r="P507" s="12"/>
      <c r="Q507" s="12"/>
      <c r="R507" s="12" t="str">
        <f t="shared" si="73"/>
        <v>&lt;font color=red&gt;&lt;b&gt;Interviewer: &lt;/b&gt;
&lt;i&gt;Confirm &lt;font color=blue&gt;${packagePrice_pack}&lt;/font&gt; Naira is the correct price for the last &lt;font color=blue&gt;${brand}&lt;/font&gt; &lt;font color=blue&gt;${packageType_label}&lt;/font&gt; sold&lt;/i&gt;</v>
      </c>
      <c r="S507" s="12" t="s">
        <v>1529</v>
      </c>
      <c r="T507" s="12"/>
      <c r="U507" s="12"/>
      <c r="V507" s="36"/>
      <c r="W507" s="36"/>
      <c r="X507" s="36"/>
      <c r="Y507" s="36"/>
      <c r="Z507" s="36"/>
    </row>
    <row r="508" spans="1:26" ht="15.75" hidden="1" outlineLevel="1" x14ac:dyDescent="0.2">
      <c r="A508" s="131"/>
      <c r="B508" s="12"/>
      <c r="C508" s="123" t="s">
        <v>174</v>
      </c>
      <c r="D508" s="12" t="s">
        <v>1511</v>
      </c>
      <c r="E508" s="55" t="s">
        <v>91</v>
      </c>
      <c r="F508" s="55">
        <v>1</v>
      </c>
      <c r="G508" s="67">
        <f t="shared" si="70"/>
        <v>12</v>
      </c>
      <c r="H508" s="12"/>
      <c r="I508" s="12"/>
      <c r="J508" s="12"/>
      <c r="K508" s="12"/>
      <c r="L508" s="12"/>
      <c r="M508" s="12"/>
      <c r="N508" s="12"/>
      <c r="O508" s="12"/>
      <c r="P508" s="12"/>
      <c r="Q508" s="12"/>
      <c r="R508" s="12"/>
      <c r="S508" s="12"/>
      <c r="T508" s="12"/>
      <c r="U508" s="12"/>
      <c r="V508" s="36"/>
      <c r="W508" s="36"/>
      <c r="X508" s="36"/>
      <c r="Y508" s="36"/>
      <c r="Z508" s="36"/>
    </row>
    <row r="509" spans="1:26" ht="94.5" outlineLevel="1" x14ac:dyDescent="0.2">
      <c r="A509" s="60" t="s">
        <v>1530</v>
      </c>
      <c r="B509" s="26"/>
      <c r="C509" s="125" t="s">
        <v>89</v>
      </c>
      <c r="D509" s="26" t="s">
        <v>1531</v>
      </c>
      <c r="E509" s="67" t="s">
        <v>91</v>
      </c>
      <c r="F509" s="67">
        <v>1</v>
      </c>
      <c r="G509" s="67">
        <f t="shared" si="70"/>
        <v>12</v>
      </c>
      <c r="H509" s="12" t="s">
        <v>1532</v>
      </c>
      <c r="I509" s="26"/>
      <c r="J509" s="26"/>
      <c r="K509" s="26"/>
      <c r="L509" s="26"/>
      <c r="M509" s="26"/>
      <c r="N509" s="26"/>
      <c r="O509" s="26"/>
      <c r="P509" s="26"/>
      <c r="Q509" s="26"/>
      <c r="R509" s="26" t="str">
        <f>IF(E509="no", H509, CONCATENATE(G509,". &lt;br&gt;",H509))</f>
        <v>Purchase price from their supplier</v>
      </c>
      <c r="S509" s="26" t="s">
        <v>1533</v>
      </c>
      <c r="T509" s="26"/>
      <c r="U509" s="26"/>
      <c r="V509" s="29"/>
      <c r="W509" s="29"/>
      <c r="X509" s="29"/>
      <c r="Y509" s="29"/>
      <c r="Z509" s="29"/>
    </row>
    <row r="510" spans="1:26" ht="15.75" outlineLevel="1" x14ac:dyDescent="0.2">
      <c r="A510" s="61"/>
      <c r="B510" s="29"/>
      <c r="C510" s="125" t="s">
        <v>89</v>
      </c>
      <c r="D510" s="26" t="s">
        <v>1534</v>
      </c>
      <c r="E510" s="67" t="s">
        <v>91</v>
      </c>
      <c r="F510" s="67">
        <v>1</v>
      </c>
      <c r="G510" s="67">
        <f t="shared" si="70"/>
        <v>12</v>
      </c>
      <c r="H510" s="12"/>
      <c r="I510" s="26"/>
      <c r="J510" s="26"/>
      <c r="K510" s="26"/>
      <c r="L510" s="26"/>
      <c r="M510" s="26"/>
      <c r="N510" s="26" t="s">
        <v>199</v>
      </c>
      <c r="O510" s="26"/>
      <c r="P510" s="26"/>
      <c r="Q510" s="26"/>
      <c r="R510" s="26"/>
      <c r="S510" s="26"/>
      <c r="T510" s="26"/>
      <c r="U510" s="26"/>
      <c r="V510" s="29"/>
      <c r="W510" s="29"/>
      <c r="X510" s="29"/>
      <c r="Y510" s="29"/>
      <c r="Z510" s="29"/>
    </row>
    <row r="511" spans="1:26" ht="25.5" hidden="1" outlineLevel="1" x14ac:dyDescent="0.2">
      <c r="A511" s="61"/>
      <c r="B511" s="29"/>
      <c r="C511" s="125" t="s">
        <v>76</v>
      </c>
      <c r="D511" s="26" t="s">
        <v>1535</v>
      </c>
      <c r="E511" s="67" t="s">
        <v>83</v>
      </c>
      <c r="F511" s="67">
        <v>1</v>
      </c>
      <c r="G511" s="67">
        <f t="shared" si="70"/>
        <v>13</v>
      </c>
      <c r="H511" s="12" t="s">
        <v>1536</v>
      </c>
      <c r="I511" s="26"/>
      <c r="J511" s="26"/>
      <c r="K511" s="26"/>
      <c r="L511" s="26"/>
      <c r="M511" s="26"/>
      <c r="N511" s="26"/>
      <c r="O511" s="26"/>
      <c r="P511" s="26"/>
      <c r="Q511" s="26"/>
      <c r="R511" s="26" t="str">
        <f t="shared" ref="R511:R514" si="74">IF(E511="no", H511, CONCATENATE(G511,". &lt;br&gt;",H511))</f>
        <v>13. &lt;br&gt;During your most recent &lt;b&gt;wholesale purchase&lt;/b&gt; of &lt;font color=blue&gt;${brand}&lt;/font&gt;: &lt;br&gt;</v>
      </c>
      <c r="S511" s="26" t="s">
        <v>1537</v>
      </c>
      <c r="T511" s="26"/>
      <c r="U511" s="26"/>
      <c r="V511" s="29"/>
      <c r="W511" s="29"/>
      <c r="X511" s="29"/>
      <c r="Y511" s="29"/>
      <c r="Z511" s="29"/>
    </row>
    <row r="512" spans="1:26" ht="15.75" hidden="1" outlineLevel="1" x14ac:dyDescent="0.2">
      <c r="A512" s="61"/>
      <c r="B512" s="29"/>
      <c r="C512" s="125" t="s">
        <v>350</v>
      </c>
      <c r="D512" s="26" t="s">
        <v>1538</v>
      </c>
      <c r="E512" s="67" t="s">
        <v>91</v>
      </c>
      <c r="F512" s="67">
        <v>1</v>
      </c>
      <c r="G512" s="67">
        <f t="shared" si="70"/>
        <v>13</v>
      </c>
      <c r="H512" s="12" t="s">
        <v>1539</v>
      </c>
      <c r="I512" s="26"/>
      <c r="J512" s="26"/>
      <c r="K512" s="26" t="s">
        <v>1495</v>
      </c>
      <c r="L512" s="26" t="s">
        <v>1496</v>
      </c>
      <c r="M512" s="26"/>
      <c r="N512" s="26" t="s">
        <v>1540</v>
      </c>
      <c r="O512" s="26"/>
      <c r="P512" s="26" t="s">
        <v>83</v>
      </c>
      <c r="Q512" s="26"/>
      <c r="R512" s="26" t="str">
        <f t="shared" si="74"/>
        <v>&lt;b&gt;[Ask]:&lt;/b&gt; &lt;br&gt;How many loose tablets did you purchase?</v>
      </c>
      <c r="S512" s="26" t="s">
        <v>1541</v>
      </c>
      <c r="T512" s="26"/>
      <c r="U512" s="26"/>
      <c r="V512" s="29"/>
      <c r="W512" s="29"/>
      <c r="X512" s="29"/>
      <c r="Y512" s="29"/>
      <c r="Z512" s="29"/>
    </row>
    <row r="513" spans="1:26" ht="25.5" hidden="1" outlineLevel="1" x14ac:dyDescent="0.2">
      <c r="A513" s="61"/>
      <c r="B513" s="29"/>
      <c r="C513" s="125" t="s">
        <v>350</v>
      </c>
      <c r="D513" s="26" t="s">
        <v>1542</v>
      </c>
      <c r="E513" s="67" t="s">
        <v>91</v>
      </c>
      <c r="F513" s="67">
        <v>1</v>
      </c>
      <c r="G513" s="67">
        <f t="shared" si="70"/>
        <v>13</v>
      </c>
      <c r="H513" s="12" t="s">
        <v>1543</v>
      </c>
      <c r="I513" s="26"/>
      <c r="J513" s="26"/>
      <c r="K513" s="26" t="s">
        <v>1495</v>
      </c>
      <c r="L513" s="26" t="s">
        <v>1504</v>
      </c>
      <c r="M513" s="26"/>
      <c r="N513" s="26" t="s">
        <v>1540</v>
      </c>
      <c r="O513" s="26"/>
      <c r="P513" s="26" t="s">
        <v>83</v>
      </c>
      <c r="Q513" s="26"/>
      <c r="R513" s="26" t="str">
        <f t="shared" si="74"/>
        <v>&lt;b&gt;[Ask]:&lt;/b&gt; &lt;br&gt;How many  &lt;font color=blue&gt;${packageType_label}&lt;/font&gt; (s) of ${brand} did you purchase?</v>
      </c>
      <c r="S513" s="26" t="s">
        <v>1544</v>
      </c>
      <c r="T513" s="26"/>
      <c r="U513" s="26"/>
      <c r="V513" s="29"/>
      <c r="W513" s="29"/>
      <c r="X513" s="29"/>
      <c r="Y513" s="29"/>
      <c r="Z513" s="29"/>
    </row>
    <row r="514" spans="1:26" ht="25.5" hidden="1" outlineLevel="1" x14ac:dyDescent="0.2">
      <c r="A514" s="61"/>
      <c r="B514" s="29"/>
      <c r="C514" s="125" t="s">
        <v>350</v>
      </c>
      <c r="D514" s="26" t="s">
        <v>1545</v>
      </c>
      <c r="E514" s="67" t="s">
        <v>91</v>
      </c>
      <c r="F514" s="67">
        <v>1</v>
      </c>
      <c r="G514" s="67">
        <f t="shared" si="70"/>
        <v>13</v>
      </c>
      <c r="H514" s="12" t="s">
        <v>1546</v>
      </c>
      <c r="I514" s="26" t="s">
        <v>1516</v>
      </c>
      <c r="J514" s="26"/>
      <c r="K514" s="26" t="s">
        <v>1495</v>
      </c>
      <c r="L514" s="26"/>
      <c r="M514" s="26"/>
      <c r="N514" s="26" t="s">
        <v>356</v>
      </c>
      <c r="O514" s="26"/>
      <c r="P514" s="26" t="s">
        <v>83</v>
      </c>
      <c r="Q514" s="26"/>
      <c r="R514" s="26" t="str">
        <f t="shared" si="74"/>
        <v>&lt;br&gt;
&lt;br&gt;What was the total purchase price?</v>
      </c>
      <c r="S514" s="26" t="s">
        <v>1547</v>
      </c>
      <c r="T514" s="26" t="s">
        <v>1519</v>
      </c>
      <c r="U514" s="26"/>
      <c r="V514" s="29"/>
      <c r="W514" s="29"/>
      <c r="X514" s="29"/>
      <c r="Y514" s="29"/>
      <c r="Z514" s="29"/>
    </row>
    <row r="515" spans="1:26" ht="15.75" hidden="1" outlineLevel="1" x14ac:dyDescent="0.2">
      <c r="A515" s="61"/>
      <c r="B515" s="29"/>
      <c r="C515" s="125" t="s">
        <v>174</v>
      </c>
      <c r="D515" s="26" t="s">
        <v>1534</v>
      </c>
      <c r="E515" s="67" t="s">
        <v>91</v>
      </c>
      <c r="F515" s="67">
        <v>1</v>
      </c>
      <c r="G515" s="67">
        <f t="shared" si="70"/>
        <v>13</v>
      </c>
      <c r="H515" s="12"/>
      <c r="I515" s="26"/>
      <c r="J515" s="26"/>
      <c r="K515" s="26"/>
      <c r="L515" s="26"/>
      <c r="M515" s="26"/>
      <c r="N515" s="26"/>
      <c r="O515" s="26"/>
      <c r="P515" s="26"/>
      <c r="Q515" s="26"/>
      <c r="R515" s="26"/>
      <c r="S515" s="26"/>
      <c r="T515" s="26"/>
      <c r="U515" s="26"/>
      <c r="V515" s="29"/>
      <c r="W515" s="29"/>
      <c r="X515" s="29"/>
      <c r="Y515" s="29"/>
      <c r="Z515" s="29"/>
    </row>
    <row r="516" spans="1:26" ht="15.75" hidden="1" outlineLevel="1" x14ac:dyDescent="0.2">
      <c r="A516" s="61"/>
      <c r="B516" s="29"/>
      <c r="C516" s="125" t="s">
        <v>109</v>
      </c>
      <c r="D516" s="26" t="s">
        <v>1548</v>
      </c>
      <c r="E516" s="67" t="s">
        <v>91</v>
      </c>
      <c r="F516" s="67">
        <v>1</v>
      </c>
      <c r="G516" s="67">
        <f t="shared" si="70"/>
        <v>13</v>
      </c>
      <c r="H516" s="12"/>
      <c r="I516" s="26"/>
      <c r="J516" s="26"/>
      <c r="K516" s="26"/>
      <c r="L516" s="26"/>
      <c r="M516" s="26" t="s">
        <v>1549</v>
      </c>
      <c r="N516" s="26"/>
      <c r="O516" s="26"/>
      <c r="P516" s="26"/>
      <c r="Q516" s="26"/>
      <c r="R516" s="26"/>
      <c r="S516" s="26"/>
      <c r="T516" s="26"/>
      <c r="U516" s="26"/>
      <c r="V516" s="29"/>
      <c r="W516" s="29"/>
      <c r="X516" s="29"/>
      <c r="Y516" s="29"/>
      <c r="Z516" s="29"/>
    </row>
    <row r="517" spans="1:26" ht="51" hidden="1" outlineLevel="1" x14ac:dyDescent="0.2">
      <c r="A517" s="61"/>
      <c r="B517" s="26"/>
      <c r="C517" s="125" t="s">
        <v>76</v>
      </c>
      <c r="D517" s="26" t="s">
        <v>1550</v>
      </c>
      <c r="E517" s="67" t="s">
        <v>91</v>
      </c>
      <c r="F517" s="67">
        <v>1</v>
      </c>
      <c r="G517" s="67">
        <f t="shared" si="70"/>
        <v>13</v>
      </c>
      <c r="H517" s="12" t="s">
        <v>1551</v>
      </c>
      <c r="I517" s="26"/>
      <c r="J517" s="26"/>
      <c r="K517" s="26"/>
      <c r="L517" s="26" t="s">
        <v>1552</v>
      </c>
      <c r="M517" s="26"/>
      <c r="N517" s="26"/>
      <c r="O517" s="26"/>
      <c r="P517" s="26"/>
      <c r="Q517" s="26"/>
      <c r="R517" s="26" t="str">
        <f t="shared" ref="R517:R518" si="75">IF(E517="no", H517, CONCATENATE(G517,". &lt;br&gt;",H517))</f>
        <v>&lt;font color=red&gt;&lt;b&gt;Interviewer: &lt;/b&gt;
&lt;i&gt;Confirm &lt;font color=blue&gt;${supplier_amt}&lt;/font&gt; is the correct number of &lt;font color=blue&gt;${packageType_label}&lt;/font&gt; (s) of &lt;font color=blue&gt;${brand}&lt;/font&gt; purchased&lt;/i&gt;</v>
      </c>
      <c r="S517" s="26" t="s">
        <v>1553</v>
      </c>
      <c r="T517" s="26"/>
      <c r="U517" s="26"/>
      <c r="V517" s="29"/>
      <c r="W517" s="29"/>
      <c r="X517" s="29"/>
      <c r="Y517" s="29"/>
      <c r="Z517" s="29"/>
    </row>
    <row r="518" spans="1:26" ht="51" hidden="1" outlineLevel="1" x14ac:dyDescent="0.2">
      <c r="A518" s="61"/>
      <c r="B518" s="26"/>
      <c r="C518" s="125" t="s">
        <v>76</v>
      </c>
      <c r="D518" s="26" t="s">
        <v>1554</v>
      </c>
      <c r="E518" s="67" t="s">
        <v>91</v>
      </c>
      <c r="F518" s="67">
        <v>1</v>
      </c>
      <c r="G518" s="67">
        <f t="shared" si="70"/>
        <v>13</v>
      </c>
      <c r="H518" s="12" t="s">
        <v>1555</v>
      </c>
      <c r="I518" s="26"/>
      <c r="J518" s="26"/>
      <c r="K518" s="26"/>
      <c r="L518" s="26" t="s">
        <v>1556</v>
      </c>
      <c r="M518" s="26"/>
      <c r="N518" s="26"/>
      <c r="O518" s="26"/>
      <c r="P518" s="26"/>
      <c r="Q518" s="26"/>
      <c r="R518" s="26" t="str">
        <f t="shared" si="75"/>
        <v>&lt;font color=red&gt;&lt;b&gt;Interviewer: &lt;/b&gt;
&lt;i&gt;Confirm &lt;font color=blue&gt;${supplier_price}&lt;/font&gt; Naira is the correct price for &lt;font color=blue&gt;${supplier_amt}&lt;/font&gt; of &lt;font color=blue&gt;${brand}&lt;/font&gt; purchased from the wholesaler store&lt;/i&gt;</v>
      </c>
      <c r="S518" s="26" t="s">
        <v>1557</v>
      </c>
      <c r="T518" s="26"/>
      <c r="U518" s="26"/>
      <c r="V518" s="29"/>
      <c r="W518" s="29"/>
      <c r="X518" s="29"/>
      <c r="Y518" s="29"/>
      <c r="Z518" s="29"/>
    </row>
    <row r="519" spans="1:26" ht="15.75" hidden="1" outlineLevel="1" x14ac:dyDescent="0.2">
      <c r="A519" s="136"/>
      <c r="B519" s="29"/>
      <c r="C519" s="125" t="s">
        <v>174</v>
      </c>
      <c r="D519" s="26" t="s">
        <v>1531</v>
      </c>
      <c r="E519" s="67" t="s">
        <v>91</v>
      </c>
      <c r="F519" s="67">
        <v>1</v>
      </c>
      <c r="G519" s="67">
        <f t="shared" si="70"/>
        <v>13</v>
      </c>
      <c r="H519" s="12"/>
      <c r="I519" s="26"/>
      <c r="J519" s="26"/>
      <c r="K519" s="26"/>
      <c r="L519" s="26"/>
      <c r="M519" s="26"/>
      <c r="N519" s="26"/>
      <c r="O519" s="26"/>
      <c r="P519" s="26"/>
      <c r="Q519" s="26"/>
      <c r="R519" s="26"/>
      <c r="S519" s="26"/>
      <c r="T519" s="26"/>
      <c r="U519" s="26"/>
      <c r="V519" s="29"/>
      <c r="W519" s="29"/>
      <c r="X519" s="29"/>
      <c r="Y519" s="29"/>
      <c r="Z519" s="29"/>
    </row>
    <row r="520" spans="1:26" ht="15.75" hidden="1" outlineLevel="1" x14ac:dyDescent="0.2">
      <c r="A520" s="8"/>
      <c r="B520" s="29"/>
      <c r="C520" s="123" t="s">
        <v>174</v>
      </c>
      <c r="D520" s="12" t="s">
        <v>1387</v>
      </c>
      <c r="E520" s="55" t="s">
        <v>91</v>
      </c>
      <c r="F520" s="55">
        <v>1</v>
      </c>
      <c r="G520" s="67">
        <f t="shared" si="70"/>
        <v>13</v>
      </c>
      <c r="H520" s="12"/>
      <c r="I520" s="12"/>
      <c r="J520" s="12"/>
      <c r="K520" s="12"/>
      <c r="L520" s="12"/>
      <c r="M520" s="12"/>
      <c r="N520" s="12"/>
      <c r="O520" s="12"/>
      <c r="P520" s="12"/>
      <c r="Q520" s="12"/>
      <c r="R520" s="12"/>
      <c r="S520" s="12"/>
      <c r="T520" s="12"/>
      <c r="U520" s="12"/>
      <c r="V520" s="36"/>
      <c r="W520" s="36"/>
      <c r="X520" s="36"/>
      <c r="Y520" s="36"/>
      <c r="Z520" s="36"/>
    </row>
    <row r="521" spans="1:26" ht="15.75" hidden="1" outlineLevel="1" x14ac:dyDescent="0.2">
      <c r="A521" s="8"/>
      <c r="B521" s="29"/>
      <c r="C521" s="125" t="s">
        <v>182</v>
      </c>
      <c r="D521" s="26" t="s">
        <v>1558</v>
      </c>
      <c r="E521" s="67" t="s">
        <v>83</v>
      </c>
      <c r="F521" s="67">
        <v>1</v>
      </c>
      <c r="G521" s="67">
        <f t="shared" si="70"/>
        <v>14</v>
      </c>
      <c r="H521" s="12" t="s">
        <v>1559</v>
      </c>
      <c r="I521" s="26" t="s">
        <v>1560</v>
      </c>
      <c r="J521" s="26"/>
      <c r="K521" s="26"/>
      <c r="L521" s="26"/>
      <c r="M521" s="26"/>
      <c r="N521" s="26"/>
      <c r="O521" s="26"/>
      <c r="P521" s="26" t="s">
        <v>83</v>
      </c>
      <c r="Q521" s="26"/>
      <c r="R521" s="26" t="str">
        <f t="shared" ref="R521:R523" si="76">IF(E521="no", H521, CONCATENATE(G521,". &lt;br&gt;",H521))</f>
        <v xml:space="preserve">14. &lt;br&gt;&lt;b&gt;[ASK PROVIDER!!!]&lt;/b&gt;Can you take a photo of this product? </v>
      </c>
      <c r="S521" s="26" t="s">
        <v>1561</v>
      </c>
      <c r="T521" s="26" t="s">
        <v>1562</v>
      </c>
      <c r="U521" s="26"/>
      <c r="V521" s="29"/>
      <c r="W521" s="29"/>
      <c r="X521" s="29"/>
      <c r="Y521" s="29"/>
      <c r="Z521" s="29"/>
    </row>
    <row r="522" spans="1:26" ht="51" hidden="1" outlineLevel="1" x14ac:dyDescent="0.2">
      <c r="A522" s="8"/>
      <c r="B522" s="26"/>
      <c r="C522" s="125" t="s">
        <v>1563</v>
      </c>
      <c r="D522" s="26" t="s">
        <v>1564</v>
      </c>
      <c r="E522" s="67" t="s">
        <v>91</v>
      </c>
      <c r="F522" s="67">
        <v>1</v>
      </c>
      <c r="G522" s="67">
        <f t="shared" si="70"/>
        <v>14</v>
      </c>
      <c r="H522" s="12" t="s">
        <v>1565</v>
      </c>
      <c r="I522" s="26"/>
      <c r="J522" s="26"/>
      <c r="K522" s="26"/>
      <c r="L522" s="26" t="s">
        <v>1566</v>
      </c>
      <c r="M522" s="26"/>
      <c r="N522" s="26"/>
      <c r="O522" s="26"/>
      <c r="P522" s="26" t="s">
        <v>83</v>
      </c>
      <c r="Q522" s="26"/>
      <c r="R522" s="26" t="str">
        <f t="shared" si="76"/>
        <v xml:space="preserve">TAKE A PHOTO OF THE &lt;b&gt;FRONT OF THE PRODUCT/b&gt; OR THE SIDE/SPACE THAT INCLUDES THE BRAND NAME: 
&lt;br&gt;&lt;br&gt;
Tap photo to focus. Retake if the image is not clear. </v>
      </c>
      <c r="S522" s="26" t="s">
        <v>1567</v>
      </c>
      <c r="T522" s="26"/>
      <c r="U522" s="26"/>
      <c r="V522" s="29"/>
      <c r="W522" s="29"/>
      <c r="X522" s="29"/>
      <c r="Y522" s="29"/>
      <c r="Z522" s="29"/>
    </row>
    <row r="523" spans="1:26" ht="51" hidden="1" outlineLevel="1" x14ac:dyDescent="0.2">
      <c r="A523" s="8"/>
      <c r="B523" s="29"/>
      <c r="C523" s="125" t="s">
        <v>1563</v>
      </c>
      <c r="D523" s="26" t="s">
        <v>1568</v>
      </c>
      <c r="E523" s="67" t="s">
        <v>91</v>
      </c>
      <c r="F523" s="67">
        <v>1</v>
      </c>
      <c r="G523" s="67">
        <f t="shared" si="70"/>
        <v>14</v>
      </c>
      <c r="H523" s="12" t="s">
        <v>1569</v>
      </c>
      <c r="I523" s="26"/>
      <c r="J523" s="26"/>
      <c r="K523" s="26"/>
      <c r="L523" s="26" t="s">
        <v>1566</v>
      </c>
      <c r="M523" s="26"/>
      <c r="N523" s="26"/>
      <c r="O523" s="26"/>
      <c r="P523" s="26" t="s">
        <v>83</v>
      </c>
      <c r="Q523" s="26"/>
      <c r="R523" s="26" t="str">
        <f t="shared" si="76"/>
        <v xml:space="preserve">TAKE A PHOTO OF THE &lt;b&gt;SIDE OF THE PRODUCT THAT INCLUDES ACTIVE INGREDIENT INFORMATION&lt;/b&gt; : 
&lt;br&gt;&lt;br&gt;
Tap photo to focus. Retake if the image is not clear. </v>
      </c>
      <c r="S523" s="26" t="s">
        <v>1570</v>
      </c>
      <c r="T523" s="26"/>
      <c r="U523" s="26"/>
      <c r="V523" s="29"/>
      <c r="W523" s="29"/>
      <c r="X523" s="29"/>
      <c r="Y523" s="29"/>
      <c r="Z523" s="29"/>
    </row>
    <row r="524" spans="1:26" ht="15.75" hidden="1" outlineLevel="1" x14ac:dyDescent="0.2">
      <c r="A524" s="8"/>
      <c r="B524" s="26"/>
      <c r="C524" s="125" t="s">
        <v>1571</v>
      </c>
      <c r="D524" s="26" t="s">
        <v>1037</v>
      </c>
      <c r="E524" s="67" t="s">
        <v>91</v>
      </c>
      <c r="F524" s="67">
        <v>1</v>
      </c>
      <c r="G524" s="67">
        <f t="shared" si="70"/>
        <v>14</v>
      </c>
      <c r="H524" s="12"/>
      <c r="I524" s="26"/>
      <c r="J524" s="26"/>
      <c r="K524" s="26"/>
      <c r="L524" s="26"/>
      <c r="M524" s="26"/>
      <c r="N524" s="26"/>
      <c r="O524" s="26"/>
      <c r="P524" s="26"/>
      <c r="Q524" s="26"/>
      <c r="R524" s="26"/>
      <c r="S524" s="26"/>
      <c r="T524" s="26"/>
      <c r="U524" s="26"/>
      <c r="V524" s="29"/>
      <c r="W524" s="29"/>
      <c r="X524" s="29"/>
      <c r="Y524" s="29"/>
      <c r="Z524" s="29"/>
    </row>
    <row r="525" spans="1:26" ht="15.75" outlineLevel="1" x14ac:dyDescent="0.2">
      <c r="A525" s="8"/>
      <c r="B525" s="29"/>
      <c r="C525" s="125" t="s">
        <v>89</v>
      </c>
      <c r="D525" s="26" t="s">
        <v>1572</v>
      </c>
      <c r="E525" s="67" t="s">
        <v>91</v>
      </c>
      <c r="F525" s="67">
        <v>1</v>
      </c>
      <c r="G525" s="67">
        <f t="shared" si="70"/>
        <v>14</v>
      </c>
      <c r="H525" s="12" t="s">
        <v>1573</v>
      </c>
      <c r="I525" s="26"/>
      <c r="J525" s="26"/>
      <c r="K525" s="26"/>
      <c r="L525" s="26" t="s">
        <v>449</v>
      </c>
      <c r="M525" s="26"/>
      <c r="N525" s="26"/>
      <c r="O525" s="26"/>
      <c r="P525" s="26"/>
      <c r="Q525" s="26"/>
      <c r="R525" s="26" t="str">
        <f t="shared" ref="R525:R527" si="77">IF(E525="no", H525, CONCATENATE(G525,". &lt;br&gt;",H525))</f>
        <v>Audit tracking</v>
      </c>
      <c r="S525" s="26" t="s">
        <v>1574</v>
      </c>
      <c r="T525" s="26"/>
      <c r="U525" s="26"/>
      <c r="V525" s="29"/>
      <c r="W525" s="29"/>
      <c r="X525" s="29"/>
      <c r="Y525" s="29"/>
      <c r="Z525" s="29"/>
    </row>
    <row r="526" spans="1:26" ht="63.75" hidden="1" outlineLevel="1" x14ac:dyDescent="0.2">
      <c r="A526" s="8"/>
      <c r="B526" s="29"/>
      <c r="C526" s="125" t="s">
        <v>1575</v>
      </c>
      <c r="D526" s="26" t="s">
        <v>1576</v>
      </c>
      <c r="E526" s="67" t="s">
        <v>83</v>
      </c>
      <c r="F526" s="67">
        <v>1</v>
      </c>
      <c r="G526" s="67">
        <f t="shared" si="70"/>
        <v>15</v>
      </c>
      <c r="H526" s="12" t="s">
        <v>1577</v>
      </c>
      <c r="I526" s="26"/>
      <c r="J526" s="26"/>
      <c r="K526" s="26"/>
      <c r="L526" s="26"/>
      <c r="M526" s="26"/>
      <c r="N526" s="26"/>
      <c r="O526" s="26"/>
      <c r="P526" s="26" t="s">
        <v>83</v>
      </c>
      <c r="Q526" s="26"/>
      <c r="R526" s="26" t="str">
        <f t="shared" si="77"/>
        <v>15. &lt;br&gt;[Don’t ask provider] &lt;br&gt;Have you been able to record details for all the antimalarials that you know are available in the outlet today?&lt;br&gt;
&lt;br&gt;&lt;font color=red&gt;ATTN: If **YOU** did not complete **ANY** audits using **THIS** form but your partner audited all antimalarials using their form, select **NO** here and select this reason on the next page.&lt;/font&gt;&lt;br&gt;</v>
      </c>
      <c r="S526" s="26" t="s">
        <v>1578</v>
      </c>
      <c r="T526" s="26"/>
      <c r="U526" s="26"/>
      <c r="V526" s="29"/>
      <c r="W526" s="29"/>
      <c r="X526" s="29"/>
      <c r="Y526" s="29"/>
      <c r="Z526" s="29"/>
    </row>
    <row r="527" spans="1:26" ht="15.75" hidden="1" outlineLevel="1" x14ac:dyDescent="0.2">
      <c r="A527" s="8"/>
      <c r="B527" s="29"/>
      <c r="C527" s="125" t="s">
        <v>144</v>
      </c>
      <c r="D527" s="26" t="s">
        <v>1579</v>
      </c>
      <c r="E527" s="67" t="s">
        <v>91</v>
      </c>
      <c r="F527" s="67">
        <v>1</v>
      </c>
      <c r="G527" s="67">
        <f t="shared" si="70"/>
        <v>15</v>
      </c>
      <c r="H527" s="12" t="s">
        <v>1580</v>
      </c>
      <c r="I527" s="26" t="s">
        <v>1581</v>
      </c>
      <c r="J527" s="26"/>
      <c r="K527" s="26"/>
      <c r="L527" s="26" t="s">
        <v>1582</v>
      </c>
      <c r="M527" s="26"/>
      <c r="N527" s="26"/>
      <c r="O527" s="26"/>
      <c r="P527" s="26" t="s">
        <v>83</v>
      </c>
      <c r="Q527" s="26"/>
      <c r="R527" s="26" t="str">
        <f t="shared" si="77"/>
        <v>Reason for incomplete audit:</v>
      </c>
      <c r="S527" s="26" t="s">
        <v>1583</v>
      </c>
      <c r="T527" s="26" t="s">
        <v>1584</v>
      </c>
      <c r="U527" s="26"/>
      <c r="V527" s="29"/>
      <c r="W527" s="29"/>
      <c r="X527" s="29"/>
      <c r="Y527" s="29"/>
      <c r="Z527" s="29"/>
    </row>
    <row r="528" spans="1:26" ht="15.75" hidden="1" outlineLevel="1" x14ac:dyDescent="0.2">
      <c r="A528" s="8"/>
      <c r="B528" s="29"/>
      <c r="C528" s="125" t="s">
        <v>174</v>
      </c>
      <c r="D528" s="26" t="s">
        <v>1572</v>
      </c>
      <c r="E528" s="67" t="s">
        <v>91</v>
      </c>
      <c r="F528" s="67">
        <v>1</v>
      </c>
      <c r="G528" s="67">
        <f t="shared" si="70"/>
        <v>15</v>
      </c>
      <c r="H528" s="12"/>
      <c r="I528" s="26"/>
      <c r="J528" s="26"/>
      <c r="K528" s="26"/>
      <c r="L528" s="26"/>
      <c r="M528" s="26"/>
      <c r="N528" s="26"/>
      <c r="O528" s="26"/>
      <c r="P528" s="26"/>
      <c r="Q528" s="26"/>
      <c r="R528" s="26"/>
      <c r="S528" s="26"/>
      <c r="T528" s="26"/>
      <c r="U528" s="26"/>
      <c r="V528" s="29"/>
      <c r="W528" s="29"/>
      <c r="X528" s="29"/>
      <c r="Y528" s="29"/>
      <c r="Z528" s="29"/>
    </row>
    <row r="529" spans="1:26" ht="15.75" hidden="1" outlineLevel="1" x14ac:dyDescent="0.2">
      <c r="A529" s="8"/>
      <c r="B529" s="29"/>
      <c r="C529" s="74" t="s">
        <v>174</v>
      </c>
      <c r="D529" s="120" t="s">
        <v>1017</v>
      </c>
      <c r="E529" s="145" t="s">
        <v>91</v>
      </c>
      <c r="F529" s="145">
        <v>1</v>
      </c>
      <c r="G529" s="121">
        <f t="shared" si="70"/>
        <v>15</v>
      </c>
      <c r="H529" s="120"/>
      <c r="I529" s="146"/>
      <c r="J529" s="146"/>
      <c r="K529" s="146"/>
      <c r="L529" s="146"/>
      <c r="M529" s="146"/>
      <c r="N529" s="146"/>
      <c r="O529" s="146"/>
      <c r="P529" s="146"/>
      <c r="Q529" s="146"/>
      <c r="R529" s="146"/>
      <c r="S529" s="146"/>
      <c r="T529" s="146"/>
      <c r="U529" s="146"/>
      <c r="V529" s="146"/>
      <c r="W529" s="146"/>
      <c r="X529" s="146"/>
      <c r="Y529" s="146"/>
      <c r="Z529" s="146"/>
    </row>
    <row r="530" spans="1:26" ht="15.75" hidden="1" outlineLevel="1" x14ac:dyDescent="0.2">
      <c r="A530" s="28"/>
      <c r="B530" s="38"/>
      <c r="C530" s="142"/>
      <c r="D530" s="38"/>
      <c r="E530" s="73"/>
      <c r="F530" s="73"/>
      <c r="G530" s="73"/>
      <c r="H530" s="38"/>
      <c r="I530" s="38"/>
      <c r="J530" s="38"/>
      <c r="K530" s="38"/>
      <c r="L530" s="38"/>
      <c r="M530" s="38"/>
      <c r="N530" s="38"/>
      <c r="O530" s="38"/>
      <c r="P530" s="38"/>
      <c r="Q530" s="38"/>
      <c r="R530" s="38"/>
      <c r="S530" s="38"/>
      <c r="T530" s="38"/>
      <c r="U530" s="38"/>
      <c r="V530" s="38"/>
      <c r="W530" s="38"/>
      <c r="X530" s="38"/>
      <c r="Y530" s="38"/>
      <c r="Z530" s="38"/>
    </row>
    <row r="531" spans="1:26" ht="76.5" outlineLevel="1" x14ac:dyDescent="0.2">
      <c r="A531" s="119" t="s">
        <v>29</v>
      </c>
      <c r="B531" s="116" t="s">
        <v>1585</v>
      </c>
      <c r="C531" s="19" t="s">
        <v>89</v>
      </c>
      <c r="D531" s="120" t="s">
        <v>1586</v>
      </c>
      <c r="E531" s="121" t="s">
        <v>91</v>
      </c>
      <c r="F531" s="121" t="s">
        <v>237</v>
      </c>
      <c r="G531" s="121">
        <f t="shared" ref="G531:G535" si="78">IF(E531="no", G530, IF(F531=F530, G530+1, 1))</f>
        <v>0</v>
      </c>
      <c r="H531" s="126" t="s">
        <v>1587</v>
      </c>
      <c r="I531" s="120"/>
      <c r="J531" s="120"/>
      <c r="K531" s="120"/>
      <c r="L531" s="120" t="s">
        <v>1588</v>
      </c>
      <c r="M531" s="120"/>
      <c r="N531" s="120"/>
      <c r="O531" s="120"/>
      <c r="P531" s="120"/>
      <c r="Q531" s="120"/>
      <c r="R531" s="120" t="str">
        <f t="shared" ref="R531:R534" si="79">IF(E531="no", H531, CONCATENATE(G531,". &lt;br&gt;",H531))</f>
        <v>Stock-outs of antimalarials</v>
      </c>
      <c r="S531" s="120" t="s">
        <v>1589</v>
      </c>
      <c r="T531" s="120"/>
      <c r="U531" s="120"/>
      <c r="V531" s="126"/>
      <c r="W531" s="126"/>
      <c r="X531" s="126"/>
      <c r="Y531" s="126"/>
      <c r="Z531" s="126"/>
    </row>
    <row r="532" spans="1:26" ht="78.75" hidden="1" outlineLevel="1" x14ac:dyDescent="0.2">
      <c r="A532" s="60" t="s">
        <v>1590</v>
      </c>
      <c r="B532" s="36"/>
      <c r="C532" s="123" t="s">
        <v>451</v>
      </c>
      <c r="D532" s="12" t="s">
        <v>1591</v>
      </c>
      <c r="E532" s="55" t="s">
        <v>83</v>
      </c>
      <c r="F532" s="55" t="s">
        <v>237</v>
      </c>
      <c r="G532" s="55">
        <f t="shared" si="78"/>
        <v>1</v>
      </c>
      <c r="H532" s="12" t="s">
        <v>1592</v>
      </c>
      <c r="I532" s="12"/>
      <c r="J532" s="12"/>
      <c r="K532" s="12"/>
      <c r="L532" s="12"/>
      <c r="M532" s="12"/>
      <c r="N532" s="12"/>
      <c r="O532" s="12"/>
      <c r="P532" s="12" t="s">
        <v>83</v>
      </c>
      <c r="Q532" s="12"/>
      <c r="R532" s="12" t="str">
        <f t="shared" si="79"/>
        <v xml:space="preserve">1. &lt;br&gt;&lt;br&gt; Are there any antimalarials that are out of stock today, but that you have had in stock for the last 3 months? </v>
      </c>
      <c r="S532" s="12" t="s">
        <v>1593</v>
      </c>
      <c r="T532" s="12"/>
      <c r="U532" s="12"/>
      <c r="V532" s="36"/>
      <c r="W532" s="36"/>
      <c r="X532" s="36"/>
      <c r="Y532" s="36"/>
      <c r="Z532" s="36"/>
    </row>
    <row r="533" spans="1:26" ht="63.75" hidden="1" outlineLevel="1" x14ac:dyDescent="0.2">
      <c r="A533" s="136"/>
      <c r="B533" s="12"/>
      <c r="C533" s="123" t="s">
        <v>1594</v>
      </c>
      <c r="D533" s="12" t="s">
        <v>1595</v>
      </c>
      <c r="E533" s="55" t="s">
        <v>83</v>
      </c>
      <c r="F533" s="55" t="s">
        <v>237</v>
      </c>
      <c r="G533" s="55">
        <f t="shared" si="78"/>
        <v>2</v>
      </c>
      <c r="H533" s="12" t="s">
        <v>1596</v>
      </c>
      <c r="I533" s="12" t="s">
        <v>1597</v>
      </c>
      <c r="J533" s="58" t="s">
        <v>655</v>
      </c>
      <c r="K533" s="12" t="s">
        <v>1598</v>
      </c>
      <c r="L533" s="12" t="s">
        <v>1599</v>
      </c>
      <c r="M533" s="12"/>
      <c r="N533" s="12" t="s">
        <v>411</v>
      </c>
      <c r="O533" s="12"/>
      <c r="P533" s="12" t="s">
        <v>83</v>
      </c>
      <c r="Q533" s="12"/>
      <c r="R533" s="12" t="str">
        <f t="shared" si="79"/>
        <v xml:space="preserve">2. &lt;br&gt;&lt;br&gt;Which of the following types of antimalarials have been OUT OF STOCK in the &lt;b&gt;last 3 months&lt;/b&gt;? </v>
      </c>
      <c r="S533" s="12" t="s">
        <v>1600</v>
      </c>
      <c r="T533" s="12" t="s">
        <v>1601</v>
      </c>
      <c r="U533" s="12" t="s">
        <v>661</v>
      </c>
      <c r="V533" s="36"/>
      <c r="W533" s="36"/>
      <c r="X533" s="36"/>
      <c r="Y533" s="36"/>
      <c r="Z533" s="36"/>
    </row>
    <row r="534" spans="1:26" ht="25.5" hidden="1" outlineLevel="1" x14ac:dyDescent="0.2">
      <c r="A534" s="8"/>
      <c r="B534" s="36"/>
      <c r="C534" s="123" t="s">
        <v>144</v>
      </c>
      <c r="D534" s="12" t="s">
        <v>1602</v>
      </c>
      <c r="E534" s="75" t="s">
        <v>91</v>
      </c>
      <c r="F534" s="75">
        <v>2</v>
      </c>
      <c r="G534" s="75">
        <f t="shared" si="78"/>
        <v>2</v>
      </c>
      <c r="H534" s="12" t="s">
        <v>1603</v>
      </c>
      <c r="I534" s="12"/>
      <c r="J534" s="12"/>
      <c r="K534" s="12"/>
      <c r="L534" s="12" t="s">
        <v>1604</v>
      </c>
      <c r="M534" s="12"/>
      <c r="N534" s="12"/>
      <c r="O534" s="12"/>
      <c r="P534" s="12" t="s">
        <v>83</v>
      </c>
      <c r="Q534" s="12"/>
      <c r="R534" s="12" t="str">
        <f t="shared" si="79"/>
        <v xml:space="preserve">Specify other antimalarial(s) you had out of stock in the last 3 months: </v>
      </c>
      <c r="S534" s="12" t="s">
        <v>1605</v>
      </c>
      <c r="T534" s="12"/>
      <c r="U534" s="12"/>
      <c r="V534" s="36"/>
      <c r="W534" s="36"/>
      <c r="X534" s="36"/>
      <c r="Y534" s="36"/>
      <c r="Z534" s="36"/>
    </row>
    <row r="535" spans="1:26" ht="15.75" hidden="1" outlineLevel="1" x14ac:dyDescent="0.2">
      <c r="A535" s="8"/>
      <c r="B535" s="29"/>
      <c r="C535" s="74" t="s">
        <v>174</v>
      </c>
      <c r="D535" s="120" t="s">
        <v>1586</v>
      </c>
      <c r="E535" s="145" t="s">
        <v>91</v>
      </c>
      <c r="F535" s="145" t="s">
        <v>237</v>
      </c>
      <c r="G535" s="145">
        <f t="shared" si="78"/>
        <v>2</v>
      </c>
      <c r="H535" s="120"/>
      <c r="I535" s="146"/>
      <c r="J535" s="146"/>
      <c r="K535" s="146"/>
      <c r="L535" s="146"/>
      <c r="M535" s="146"/>
      <c r="N535" s="146"/>
      <c r="O535" s="146"/>
      <c r="P535" s="146"/>
      <c r="Q535" s="146"/>
      <c r="R535" s="146"/>
      <c r="S535" s="146"/>
      <c r="T535" s="146"/>
      <c r="U535" s="146"/>
      <c r="V535" s="146"/>
      <c r="W535" s="146"/>
      <c r="X535" s="146"/>
      <c r="Y535" s="146"/>
      <c r="Z535" s="146"/>
    </row>
    <row r="536" spans="1:26" ht="140.25" hidden="1" x14ac:dyDescent="0.2">
      <c r="A536" s="9" t="s">
        <v>318</v>
      </c>
      <c r="B536" s="12"/>
      <c r="C536" s="123" t="s">
        <v>182</v>
      </c>
      <c r="D536" s="12" t="s">
        <v>1606</v>
      </c>
      <c r="E536" s="55"/>
      <c r="F536" s="55" t="s">
        <v>237</v>
      </c>
      <c r="G536" s="55" t="s">
        <v>1607</v>
      </c>
      <c r="H536" s="12" t="s">
        <v>1608</v>
      </c>
      <c r="I536" s="12"/>
      <c r="J536" s="12"/>
      <c r="K536" s="12"/>
      <c r="L536" s="120" t="s">
        <v>1588</v>
      </c>
      <c r="M536" s="12"/>
      <c r="N536" s="12"/>
      <c r="O536" s="12"/>
      <c r="P536" s="12" t="s">
        <v>83</v>
      </c>
      <c r="Q536" s="12">
        <v>1</v>
      </c>
      <c r="R536" s="12" t="str">
        <f>IF(E536="no", H536, CONCATENATE(G536,". &lt;br&gt;",H536))</f>
        <v>End of antimalarial audit. &lt;br&gt;&lt;font color="green"&gt;CHECKPOINT ANTIMALARIAL AUDIT&lt;br&gt;&lt;br&gt;&lt;b&gt;INTERVIEWER&lt;/b&gt;&lt;br&gt;Are you able to continue the interview, that is, this interview &lt;b&gt;has not&lt;/b&gt; been interrupted?&lt;/font&gt;</v>
      </c>
      <c r="S536" s="12" t="s">
        <v>1609</v>
      </c>
      <c r="T536" s="12"/>
      <c r="U536" s="12"/>
      <c r="V536" s="12"/>
      <c r="W536" s="12"/>
      <c r="X536" s="12"/>
      <c r="Y536" s="12"/>
      <c r="Z536" s="12"/>
    </row>
    <row r="537" spans="1:26" ht="15.75" hidden="1" x14ac:dyDescent="0.2">
      <c r="A537" s="8"/>
      <c r="B537" s="12"/>
      <c r="C537" s="123"/>
      <c r="D537" s="12"/>
      <c r="E537" s="55"/>
      <c r="F537" s="55"/>
      <c r="G537" s="55"/>
      <c r="H537" s="12"/>
      <c r="I537" s="12"/>
      <c r="J537" s="12"/>
      <c r="K537" s="12"/>
      <c r="L537" s="12"/>
      <c r="M537" s="12"/>
      <c r="N537" s="12"/>
      <c r="O537" s="12"/>
      <c r="P537" s="12"/>
      <c r="Q537" s="12"/>
      <c r="R537" s="70"/>
      <c r="S537" s="70"/>
      <c r="T537" s="70"/>
      <c r="U537" s="70"/>
      <c r="V537" s="12"/>
      <c r="W537" s="12"/>
      <c r="X537" s="12"/>
      <c r="Y537" s="12"/>
      <c r="Z537" s="12"/>
    </row>
    <row r="538" spans="1:26" ht="15.75" hidden="1" x14ac:dyDescent="0.2">
      <c r="A538" s="8"/>
      <c r="B538" s="12"/>
      <c r="C538" s="123"/>
      <c r="D538" s="12"/>
      <c r="E538" s="55"/>
      <c r="F538" s="55"/>
      <c r="G538" s="55"/>
      <c r="H538" s="12"/>
      <c r="I538" s="12"/>
      <c r="J538" s="12"/>
      <c r="K538" s="12"/>
      <c r="L538" s="12"/>
      <c r="M538" s="12"/>
      <c r="N538" s="12"/>
      <c r="O538" s="12"/>
      <c r="P538" s="12"/>
      <c r="Q538" s="12"/>
      <c r="R538" s="70"/>
      <c r="S538" s="70"/>
      <c r="T538" s="70"/>
      <c r="U538" s="70"/>
      <c r="V538" s="12"/>
      <c r="W538" s="12"/>
      <c r="X538" s="12"/>
      <c r="Y538" s="12"/>
      <c r="Z538" s="12"/>
    </row>
    <row r="539" spans="1:26" ht="15.75" hidden="1" x14ac:dyDescent="0.2">
      <c r="A539" s="8"/>
      <c r="B539" s="12"/>
      <c r="C539" s="123"/>
      <c r="D539" s="12"/>
      <c r="E539" s="55"/>
      <c r="F539" s="55"/>
      <c r="G539" s="55"/>
      <c r="H539" s="12"/>
      <c r="I539" s="12"/>
      <c r="J539" s="12"/>
      <c r="K539" s="12"/>
      <c r="L539" s="12"/>
      <c r="M539" s="12"/>
      <c r="N539" s="12"/>
      <c r="O539" s="12"/>
      <c r="P539" s="12"/>
      <c r="Q539" s="12"/>
      <c r="R539" s="70"/>
      <c r="S539" s="70"/>
      <c r="T539" s="70"/>
      <c r="U539" s="70"/>
      <c r="V539" s="12"/>
      <c r="W539" s="12"/>
      <c r="X539" s="12"/>
      <c r="Y539" s="12"/>
      <c r="Z539" s="12"/>
    </row>
    <row r="540" spans="1:26" ht="15.75" hidden="1" x14ac:dyDescent="0.2">
      <c r="A540" s="8"/>
      <c r="B540" s="12"/>
      <c r="C540" s="123"/>
      <c r="D540" s="12"/>
      <c r="E540" s="55"/>
      <c r="F540" s="55"/>
      <c r="G540" s="55"/>
      <c r="H540" s="12"/>
      <c r="I540" s="12"/>
      <c r="J540" s="12"/>
      <c r="K540" s="12"/>
      <c r="L540" s="12"/>
      <c r="M540" s="12"/>
      <c r="N540" s="12"/>
      <c r="O540" s="12"/>
      <c r="P540" s="12"/>
      <c r="Q540" s="12"/>
      <c r="R540" s="70"/>
      <c r="S540" s="70"/>
      <c r="T540" s="70"/>
      <c r="U540" s="70"/>
      <c r="V540" s="12"/>
      <c r="W540" s="12"/>
      <c r="X540" s="12"/>
      <c r="Y540" s="12"/>
      <c r="Z540" s="12"/>
    </row>
    <row r="541" spans="1:26" ht="15.75" hidden="1" x14ac:dyDescent="0.2">
      <c r="A541" s="8"/>
      <c r="B541" s="12"/>
      <c r="C541" s="123"/>
      <c r="D541" s="12"/>
      <c r="E541" s="55"/>
      <c r="F541" s="55"/>
      <c r="G541" s="55"/>
      <c r="H541" s="12"/>
      <c r="I541" s="12"/>
      <c r="J541" s="12"/>
      <c r="K541" s="12"/>
      <c r="L541" s="12"/>
      <c r="M541" s="12"/>
      <c r="N541" s="12"/>
      <c r="O541" s="12"/>
      <c r="P541" s="12"/>
      <c r="Q541" s="12"/>
      <c r="R541" s="70"/>
      <c r="S541" s="70"/>
      <c r="T541" s="70"/>
      <c r="U541" s="70"/>
      <c r="V541" s="12"/>
      <c r="W541" s="12"/>
      <c r="X541" s="12"/>
      <c r="Y541" s="12"/>
      <c r="Z541" s="12"/>
    </row>
    <row r="542" spans="1:26" ht="63" hidden="1" x14ac:dyDescent="0.2">
      <c r="A542" s="115" t="s">
        <v>1610</v>
      </c>
      <c r="B542" s="140"/>
      <c r="C542" s="69"/>
      <c r="D542" s="141"/>
      <c r="E542" s="147"/>
      <c r="F542" s="147"/>
      <c r="G542" s="147"/>
      <c r="H542" s="141"/>
      <c r="I542" s="141"/>
      <c r="J542" s="141"/>
      <c r="K542" s="141"/>
      <c r="L542" s="141"/>
      <c r="M542" s="141"/>
      <c r="N542" s="141"/>
      <c r="O542" s="141"/>
      <c r="P542" s="141"/>
      <c r="Q542" s="141"/>
      <c r="R542" s="141"/>
      <c r="S542" s="141"/>
      <c r="T542" s="141"/>
      <c r="U542" s="141"/>
      <c r="V542" s="16"/>
      <c r="W542" s="16"/>
      <c r="X542" s="16"/>
      <c r="Y542" s="16"/>
      <c r="Z542" s="16"/>
    </row>
    <row r="543" spans="1:26" ht="15.75" hidden="1" outlineLevel="1" x14ac:dyDescent="0.2">
      <c r="A543" s="8"/>
      <c r="B543" s="12"/>
      <c r="C543" s="123"/>
      <c r="D543" s="12"/>
      <c r="E543" s="55"/>
      <c r="F543" s="55"/>
      <c r="G543" s="55"/>
      <c r="H543" s="12"/>
      <c r="I543" s="12"/>
      <c r="J543" s="12"/>
      <c r="K543" s="12"/>
      <c r="L543" s="12"/>
      <c r="M543" s="12"/>
      <c r="N543" s="12"/>
      <c r="O543" s="12"/>
      <c r="P543" s="12"/>
      <c r="Q543" s="12"/>
      <c r="R543" s="11"/>
      <c r="S543" s="11"/>
      <c r="T543" s="11"/>
      <c r="U543" s="11"/>
      <c r="V543" s="12"/>
      <c r="W543" s="12"/>
      <c r="X543" s="12"/>
      <c r="Y543" s="12"/>
      <c r="Z543" s="12"/>
    </row>
    <row r="544" spans="1:26" ht="38.25" outlineLevel="1" x14ac:dyDescent="0.2">
      <c r="A544" s="119" t="s">
        <v>31</v>
      </c>
      <c r="B544" s="140"/>
      <c r="C544" s="19" t="s">
        <v>89</v>
      </c>
      <c r="D544" s="120" t="s">
        <v>1611</v>
      </c>
      <c r="E544" s="121" t="s">
        <v>91</v>
      </c>
      <c r="F544" s="121">
        <v>1</v>
      </c>
      <c r="G544" s="121" t="s">
        <v>329</v>
      </c>
      <c r="H544" s="122" t="s">
        <v>1612</v>
      </c>
      <c r="I544" s="120"/>
      <c r="J544" s="120"/>
      <c r="K544" s="120"/>
      <c r="L544" s="120" t="s">
        <v>1613</v>
      </c>
      <c r="M544" s="120"/>
      <c r="N544" s="120"/>
      <c r="O544" s="120"/>
      <c r="P544" s="120"/>
      <c r="Q544" s="120"/>
      <c r="R544" s="120" t="str">
        <f t="shared" ref="R544:R550" si="80">IF(E544="no", H544, CONCATENATE(G544,". &lt;br&gt;",H544))</f>
        <v>Diagnostic audit</v>
      </c>
      <c r="S544" s="120" t="s">
        <v>1614</v>
      </c>
      <c r="T544" s="120"/>
      <c r="U544" s="120"/>
      <c r="V544" s="16"/>
      <c r="W544" s="16"/>
      <c r="X544" s="16"/>
      <c r="Y544" s="16"/>
      <c r="Z544" s="16"/>
    </row>
    <row r="545" spans="1:26" ht="51" hidden="1" outlineLevel="1" x14ac:dyDescent="0.2">
      <c r="A545" s="8"/>
      <c r="B545" s="26"/>
      <c r="C545" s="125" t="s">
        <v>76</v>
      </c>
      <c r="D545" s="26" t="s">
        <v>1615</v>
      </c>
      <c r="E545" s="67" t="s">
        <v>91</v>
      </c>
      <c r="F545" s="67">
        <v>1</v>
      </c>
      <c r="G545" s="67" t="s">
        <v>328</v>
      </c>
      <c r="H545" s="12" t="s">
        <v>1616</v>
      </c>
      <c r="I545" s="26"/>
      <c r="J545" s="26"/>
      <c r="K545" s="26"/>
      <c r="L545" s="26"/>
      <c r="M545" s="26"/>
      <c r="N545" s="26"/>
      <c r="O545" s="26"/>
      <c r="P545" s="26"/>
      <c r="Q545" s="26"/>
      <c r="R545" s="26" t="str">
        <f t="shared" si="80"/>
        <v>&lt;h4&gt;DIagnostics Audit&lt;/h4&gt;&lt;br&gt;&lt;br&gt;
&lt;font color="blue"&gt;&lt;b&gt;&lt;br&gt; Interviewer: &lt;br&gt;&lt;br&gt;
The following questions aim to conduct an audit of malaria testing availablity. &lt;/b&gt; 
Complete an audit of all RDTs in stock in this outlet.</v>
      </c>
      <c r="S545" s="26" t="s">
        <v>1617</v>
      </c>
      <c r="T545" s="26"/>
      <c r="U545" s="26"/>
      <c r="V545" s="29"/>
      <c r="W545" s="29"/>
      <c r="X545" s="29"/>
      <c r="Y545" s="29"/>
      <c r="Z545" s="29"/>
    </row>
    <row r="546" spans="1:26" ht="51" hidden="1" outlineLevel="1" x14ac:dyDescent="0.2">
      <c r="A546" s="8"/>
      <c r="B546" s="29"/>
      <c r="C546" s="125" t="s">
        <v>1020</v>
      </c>
      <c r="D546" s="26" t="s">
        <v>1618</v>
      </c>
      <c r="E546" s="67" t="s">
        <v>83</v>
      </c>
      <c r="F546" s="67">
        <v>1</v>
      </c>
      <c r="G546" s="67">
        <f>IF(E546="no", G624, IF(F546=F624, G624+1, 1))</f>
        <v>1</v>
      </c>
      <c r="H546" s="12" t="s">
        <v>1619</v>
      </c>
      <c r="I546" s="26" t="s">
        <v>1620</v>
      </c>
      <c r="J546" s="26"/>
      <c r="K546" s="26"/>
      <c r="L546" s="148" t="s">
        <v>1621</v>
      </c>
      <c r="M546" s="26"/>
      <c r="N546" s="26"/>
      <c r="O546" s="26"/>
      <c r="P546" s="26" t="s">
        <v>83</v>
      </c>
      <c r="Q546" s="26"/>
      <c r="R546" s="26" t="str">
        <f t="shared" si="80"/>
        <v xml:space="preserve">1. &lt;br&gt;&lt;b&gt;Interviewer: &lt;/b&gt;
&lt;br&gt;&lt;b&gt;[OBSERVE, ASK TO SEE]: &lt;/b&gt;
&lt;br&gt;&lt;b&gt;Confirm the presence of at least one RDT at this outlet: &lt;/b&gt;
</v>
      </c>
      <c r="S546" s="26" t="s">
        <v>1622</v>
      </c>
      <c r="T546" s="26" t="s">
        <v>1623</v>
      </c>
      <c r="U546" s="26"/>
      <c r="V546" s="29"/>
      <c r="W546" s="29"/>
      <c r="X546" s="29"/>
      <c r="Y546" s="29"/>
      <c r="Z546" s="29"/>
    </row>
    <row r="547" spans="1:26" ht="127.5" hidden="1" outlineLevel="1" x14ac:dyDescent="0.2">
      <c r="A547" s="8"/>
      <c r="B547" s="29"/>
      <c r="C547" s="125" t="s">
        <v>1624</v>
      </c>
      <c r="D547" s="26" t="s">
        <v>1625</v>
      </c>
      <c r="E547" s="67" t="s">
        <v>83</v>
      </c>
      <c r="F547" s="67">
        <v>1</v>
      </c>
      <c r="G547" s="67">
        <f t="shared" ref="G547:G549" si="81">IF(E547="no", G546, IF(F547=F546, G546+1, 1))</f>
        <v>2</v>
      </c>
      <c r="H547" s="12" t="s">
        <v>1626</v>
      </c>
      <c r="I547" s="26"/>
      <c r="J547" s="26"/>
      <c r="K547" s="26"/>
      <c r="L547" s="26" t="s">
        <v>1627</v>
      </c>
      <c r="M547" s="26"/>
      <c r="N547" s="26"/>
      <c r="O547" s="26"/>
      <c r="P547" s="26" t="s">
        <v>83</v>
      </c>
      <c r="Q547" s="26"/>
      <c r="R547" s="26" t="str">
        <f t="shared" si="80"/>
        <v xml:space="preserve">2. &lt;br&gt;&lt;font color="red"&gt;During the screening section of this interview, the provider said RDTs were present. 
&lt;br&gt;&lt;br&gt;
&lt;b&gt;Please confirm the provider doesn't have any products physically available, or indicate here why there is a discrepancy in responses e.g. the provider doesn't want to show them, etc.&lt;/b&gt;
&lt;br&gt;&lt;br&gt;
Otherwise, go back and change your response to the previous question and continue with the audit.
 </v>
      </c>
      <c r="S547" s="26" t="s">
        <v>1628</v>
      </c>
      <c r="T547" s="26"/>
      <c r="U547" s="26"/>
      <c r="V547" s="29"/>
      <c r="W547" s="29"/>
      <c r="X547" s="29"/>
      <c r="Y547" s="29"/>
      <c r="Z547" s="29"/>
    </row>
    <row r="548" spans="1:26" ht="15.75" hidden="1" outlineLevel="1" x14ac:dyDescent="0.2">
      <c r="A548" s="8"/>
      <c r="B548" s="29"/>
      <c r="C548" s="125" t="s">
        <v>144</v>
      </c>
      <c r="D548" s="26" t="s">
        <v>1629</v>
      </c>
      <c r="E548" s="76" t="s">
        <v>91</v>
      </c>
      <c r="F548" s="76">
        <v>1</v>
      </c>
      <c r="G548" s="76">
        <f t="shared" si="81"/>
        <v>2</v>
      </c>
      <c r="H548" s="12" t="s">
        <v>192</v>
      </c>
      <c r="I548" s="26"/>
      <c r="J548" s="26"/>
      <c r="K548" s="26"/>
      <c r="L548" s="26" t="s">
        <v>1630</v>
      </c>
      <c r="M548" s="26"/>
      <c r="N548" s="26"/>
      <c r="O548" s="26"/>
      <c r="P548" s="26"/>
      <c r="Q548" s="26"/>
      <c r="R548" s="26" t="str">
        <f t="shared" si="80"/>
        <v>Specify other reason:</v>
      </c>
      <c r="S548" s="26" t="s">
        <v>1631</v>
      </c>
      <c r="T548" s="26"/>
      <c r="U548" s="26"/>
      <c r="V548" s="29"/>
      <c r="W548" s="29"/>
      <c r="X548" s="29"/>
      <c r="Y548" s="29"/>
      <c r="Z548" s="29"/>
    </row>
    <row r="549" spans="1:26" ht="102" hidden="1" outlineLevel="1" x14ac:dyDescent="0.2">
      <c r="A549" s="8"/>
      <c r="B549" s="29"/>
      <c r="C549" s="125" t="s">
        <v>76</v>
      </c>
      <c r="D549" s="26" t="s">
        <v>1632</v>
      </c>
      <c r="E549" s="67" t="s">
        <v>91</v>
      </c>
      <c r="F549" s="67">
        <v>1</v>
      </c>
      <c r="G549" s="67">
        <f t="shared" si="81"/>
        <v>2</v>
      </c>
      <c r="H549" s="12" t="s">
        <v>1633</v>
      </c>
      <c r="I549" s="26"/>
      <c r="J549" s="26"/>
      <c r="K549" s="26"/>
      <c r="L549" s="26" t="s">
        <v>466</v>
      </c>
      <c r="M549" s="26"/>
      <c r="N549" s="26"/>
      <c r="O549" s="26"/>
      <c r="P549" s="26"/>
      <c r="Q549" s="26"/>
      <c r="R549" s="26" t="str">
        <f t="shared" si="80"/>
        <v>&lt;font color=blue&gt;&lt;h4&gt;&lt;b&gt;Interviewer: &lt;/b&gt;&lt;/h4&gt;
&lt;br&gt;
&lt;i&gt;&lt;h4&gt;Carry out an audit of RDTs.&lt;/h4&gt; 
&lt;br&gt;
&lt;b&gt;Instructions: &lt;/b&gt;
&lt;br&gt;&lt;br&gt;(1) Collect one of every RDT available.
&lt;br&gt;&lt;br&gt;(2) Proceed with audit by swiping forward and selecting 'Add Group'. 
&lt;br&gt;&lt;br&gt;(3) Complete all questions and add new groups for each different product.</v>
      </c>
      <c r="S549" s="26" t="s">
        <v>1634</v>
      </c>
      <c r="T549" s="26"/>
      <c r="U549" s="26"/>
      <c r="V549" s="29"/>
      <c r="W549" s="29"/>
      <c r="X549" s="29"/>
      <c r="Y549" s="29"/>
      <c r="Z549" s="29"/>
    </row>
    <row r="550" spans="1:26" ht="15.75" hidden="1" outlineLevel="1" x14ac:dyDescent="0.2">
      <c r="A550" s="8"/>
      <c r="B550" s="29"/>
      <c r="C550" s="125" t="s">
        <v>1036</v>
      </c>
      <c r="D550" s="26" t="s">
        <v>1635</v>
      </c>
      <c r="E550" s="67" t="s">
        <v>91</v>
      </c>
      <c r="F550" s="67">
        <v>1</v>
      </c>
      <c r="G550" s="67">
        <v>11</v>
      </c>
      <c r="H550" s="36" t="s">
        <v>1636</v>
      </c>
      <c r="I550" s="26"/>
      <c r="J550" s="26"/>
      <c r="K550" s="26"/>
      <c r="L550" s="26" t="s">
        <v>466</v>
      </c>
      <c r="M550" s="26"/>
      <c r="N550" s="26"/>
      <c r="O550" s="26"/>
      <c r="P550" s="26"/>
      <c r="Q550" s="26"/>
      <c r="R550" s="26" t="str">
        <f t="shared" si="80"/>
        <v>&lt;RDT product information&gt;</v>
      </c>
      <c r="S550" s="26" t="s">
        <v>1637</v>
      </c>
      <c r="T550" s="26"/>
      <c r="U550" s="26"/>
      <c r="V550" s="29"/>
      <c r="W550" s="29"/>
      <c r="X550" s="29"/>
      <c r="Y550" s="29"/>
      <c r="Z550" s="29"/>
    </row>
    <row r="551" spans="1:26" ht="15.75" hidden="1" outlineLevel="1" x14ac:dyDescent="0.2">
      <c r="A551" s="8"/>
      <c r="B551" s="29"/>
      <c r="C551" s="125" t="s">
        <v>109</v>
      </c>
      <c r="D551" s="26" t="s">
        <v>1638</v>
      </c>
      <c r="E551" s="67" t="s">
        <v>91</v>
      </c>
      <c r="F551" s="67">
        <v>1</v>
      </c>
      <c r="G551" s="67">
        <f t="shared" ref="G551:G565" si="82">IF(E551="no", G550, IF(F551=F550, G550+1, 1))</f>
        <v>11</v>
      </c>
      <c r="H551" s="12"/>
      <c r="I551" s="26"/>
      <c r="J551" s="26"/>
      <c r="K551" s="26"/>
      <c r="L551" s="26"/>
      <c r="M551" s="26" t="s">
        <v>1639</v>
      </c>
      <c r="N551" s="26"/>
      <c r="O551" s="26"/>
      <c r="P551" s="26"/>
      <c r="Q551" s="26"/>
      <c r="R551" s="26"/>
      <c r="S551" s="26"/>
      <c r="T551" s="26"/>
      <c r="U551" s="26"/>
      <c r="V551" s="29"/>
      <c r="W551" s="29"/>
      <c r="X551" s="29"/>
      <c r="Y551" s="29"/>
      <c r="Z551" s="29"/>
    </row>
    <row r="552" spans="1:26" ht="15.75" hidden="1" outlineLevel="1" x14ac:dyDescent="0.2">
      <c r="A552" s="8"/>
      <c r="B552" s="29"/>
      <c r="C552" s="125" t="s">
        <v>109</v>
      </c>
      <c r="D552" s="26" t="s">
        <v>1640</v>
      </c>
      <c r="E552" s="67" t="s">
        <v>91</v>
      </c>
      <c r="F552" s="67">
        <v>1</v>
      </c>
      <c r="G552" s="67">
        <f t="shared" si="82"/>
        <v>11</v>
      </c>
      <c r="H552" s="12"/>
      <c r="I552" s="26"/>
      <c r="J552" s="26"/>
      <c r="K552" s="26"/>
      <c r="L552" s="26"/>
      <c r="M552" s="26" t="s">
        <v>1641</v>
      </c>
      <c r="N552" s="26"/>
      <c r="O552" s="26"/>
      <c r="P552" s="26"/>
      <c r="Q552" s="26"/>
      <c r="R552" s="26"/>
      <c r="S552" s="26"/>
      <c r="T552" s="26"/>
      <c r="U552" s="26"/>
      <c r="V552" s="29"/>
      <c r="W552" s="29"/>
      <c r="X552" s="29"/>
      <c r="Y552" s="29"/>
      <c r="Z552" s="29"/>
    </row>
    <row r="553" spans="1:26" ht="25.5" hidden="1" outlineLevel="1" x14ac:dyDescent="0.2">
      <c r="A553" s="8"/>
      <c r="B553" s="29"/>
      <c r="C553" s="125" t="s">
        <v>1040</v>
      </c>
      <c r="D553" s="26" t="s">
        <v>1642</v>
      </c>
      <c r="E553" s="67" t="s">
        <v>91</v>
      </c>
      <c r="F553" s="67">
        <v>1</v>
      </c>
      <c r="G553" s="67">
        <f t="shared" si="82"/>
        <v>11</v>
      </c>
      <c r="H553" s="12" t="s">
        <v>1643</v>
      </c>
      <c r="I553" s="26"/>
      <c r="J553" s="26"/>
      <c r="K553" s="26"/>
      <c r="L553" s="26"/>
      <c r="M553" s="26"/>
      <c r="N553" s="26"/>
      <c r="O553" s="26"/>
      <c r="P553" s="26" t="s">
        <v>83</v>
      </c>
      <c r="Q553" s="26"/>
      <c r="R553" s="26" t="str">
        <f t="shared" ref="R553:R556" si="83">IF(E553="no", H553, CONCATENATE(G553,". &lt;br&gt;",H553))</f>
        <v>Do you want to search the database of common products or manually enter information for this product?</v>
      </c>
      <c r="S553" s="26" t="s">
        <v>1644</v>
      </c>
      <c r="T553" s="26"/>
      <c r="U553" s="26"/>
      <c r="V553" s="29"/>
      <c r="W553" s="29"/>
      <c r="X553" s="29"/>
      <c r="Y553" s="29"/>
      <c r="Z553" s="29"/>
    </row>
    <row r="554" spans="1:26" ht="15.75" outlineLevel="1" x14ac:dyDescent="0.2">
      <c r="A554" s="8" t="s">
        <v>1044</v>
      </c>
      <c r="B554" s="29"/>
      <c r="C554" s="125" t="s">
        <v>89</v>
      </c>
      <c r="D554" s="26" t="s">
        <v>1645</v>
      </c>
      <c r="E554" s="67" t="s">
        <v>91</v>
      </c>
      <c r="F554" s="67">
        <v>1</v>
      </c>
      <c r="G554" s="67">
        <f t="shared" si="82"/>
        <v>11</v>
      </c>
      <c r="H554" s="36" t="s">
        <v>1646</v>
      </c>
      <c r="I554" s="26"/>
      <c r="J554" s="26"/>
      <c r="K554" s="26"/>
      <c r="L554" s="26" t="s">
        <v>1647</v>
      </c>
      <c r="M554" s="26"/>
      <c r="N554" s="26"/>
      <c r="O554" s="26"/>
      <c r="P554" s="26"/>
      <c r="Q554" s="26"/>
      <c r="R554" s="26" t="str">
        <f t="shared" si="83"/>
        <v>&lt;Database search:&gt;</v>
      </c>
      <c r="S554" s="26" t="s">
        <v>1648</v>
      </c>
      <c r="T554" s="26"/>
      <c r="U554" s="26"/>
      <c r="V554" s="29"/>
      <c r="W554" s="29"/>
      <c r="X554" s="29"/>
      <c r="Y554" s="29"/>
      <c r="Z554" s="29"/>
    </row>
    <row r="555" spans="1:26" ht="15.75" hidden="1" outlineLevel="1" x14ac:dyDescent="0.2">
      <c r="A555" s="8"/>
      <c r="B555" s="29"/>
      <c r="C555" s="125" t="s">
        <v>144</v>
      </c>
      <c r="D555" s="26" t="s">
        <v>1649</v>
      </c>
      <c r="E555" s="67" t="s">
        <v>91</v>
      </c>
      <c r="F555" s="67">
        <v>1</v>
      </c>
      <c r="G555" s="67">
        <f t="shared" si="82"/>
        <v>11</v>
      </c>
      <c r="H555" s="12" t="s">
        <v>1060</v>
      </c>
      <c r="I555" s="26"/>
      <c r="J555" s="26"/>
      <c r="K555" s="26"/>
      <c r="L555" s="26"/>
      <c r="M555" s="26"/>
      <c r="N555" s="26"/>
      <c r="O555" s="26"/>
      <c r="P555" s="26" t="s">
        <v>83</v>
      </c>
      <c r="Q555" s="26"/>
      <c r="R555" s="26" t="str">
        <f t="shared" si="83"/>
        <v>Enter all or part of the brand name</v>
      </c>
      <c r="S555" s="26" t="s">
        <v>1650</v>
      </c>
      <c r="T555" s="26"/>
      <c r="U555" s="26"/>
      <c r="V555" s="29"/>
      <c r="W555" s="29"/>
      <c r="X555" s="29"/>
      <c r="Y555" s="29"/>
      <c r="Z555" s="29"/>
    </row>
    <row r="556" spans="1:26" ht="15.75" hidden="1" outlineLevel="1" x14ac:dyDescent="0.2">
      <c r="A556" s="8"/>
      <c r="B556" s="29"/>
      <c r="C556" s="125" t="s">
        <v>1651</v>
      </c>
      <c r="D556" s="26" t="s">
        <v>1652</v>
      </c>
      <c r="E556" s="67" t="s">
        <v>91</v>
      </c>
      <c r="F556" s="67">
        <v>1</v>
      </c>
      <c r="G556" s="67">
        <f t="shared" si="82"/>
        <v>11</v>
      </c>
      <c r="H556" s="12" t="s">
        <v>1064</v>
      </c>
      <c r="I556" s="26"/>
      <c r="J556" s="26"/>
      <c r="K556" s="26"/>
      <c r="L556" s="26" t="s">
        <v>1653</v>
      </c>
      <c r="M556" s="26"/>
      <c r="N556" s="26" t="s">
        <v>1654</v>
      </c>
      <c r="O556" s="26"/>
      <c r="P556" s="26" t="s">
        <v>83</v>
      </c>
      <c r="Q556" s="26"/>
      <c r="R556" s="26" t="str">
        <f t="shared" si="83"/>
        <v>Select the product you want to audit</v>
      </c>
      <c r="S556" s="26" t="s">
        <v>1655</v>
      </c>
      <c r="T556" s="26"/>
      <c r="U556" s="26"/>
      <c r="V556" s="29"/>
      <c r="W556" s="29"/>
      <c r="X556" s="29"/>
      <c r="Y556" s="29"/>
      <c r="Z556" s="29"/>
    </row>
    <row r="557" spans="1:26" ht="15.75" hidden="1" outlineLevel="1" x14ac:dyDescent="0.2">
      <c r="A557" s="8"/>
      <c r="B557" s="29"/>
      <c r="C557" s="125" t="s">
        <v>109</v>
      </c>
      <c r="D557" s="26" t="s">
        <v>1656</v>
      </c>
      <c r="E557" s="67" t="s">
        <v>91</v>
      </c>
      <c r="F557" s="67">
        <v>1</v>
      </c>
      <c r="G557" s="67">
        <f t="shared" si="82"/>
        <v>11</v>
      </c>
      <c r="H557" s="12"/>
      <c r="I557" s="26"/>
      <c r="J557" s="26"/>
      <c r="K557" s="26"/>
      <c r="L557" s="26"/>
      <c r="M557" s="26" t="s">
        <v>1657</v>
      </c>
      <c r="N557" s="26"/>
      <c r="O557" s="26"/>
      <c r="P557" s="26"/>
      <c r="Q557" s="26"/>
      <c r="R557" s="26"/>
      <c r="S557" s="26"/>
      <c r="T557" s="26"/>
      <c r="U557" s="26"/>
      <c r="V557" s="29"/>
      <c r="W557" s="29"/>
      <c r="X557" s="29"/>
      <c r="Y557" s="29"/>
      <c r="Z557" s="29"/>
    </row>
    <row r="558" spans="1:26" ht="15.75" hidden="1" outlineLevel="1" x14ac:dyDescent="0.2">
      <c r="A558" s="8"/>
      <c r="B558" s="29"/>
      <c r="C558" s="125" t="s">
        <v>109</v>
      </c>
      <c r="D558" s="26" t="s">
        <v>1658</v>
      </c>
      <c r="E558" s="67" t="s">
        <v>91</v>
      </c>
      <c r="F558" s="67">
        <v>1</v>
      </c>
      <c r="G558" s="67">
        <f t="shared" si="82"/>
        <v>11</v>
      </c>
      <c r="H558" s="12"/>
      <c r="I558" s="26"/>
      <c r="J558" s="26"/>
      <c r="K558" s="26"/>
      <c r="L558" s="26"/>
      <c r="M558" s="26" t="s">
        <v>1659</v>
      </c>
      <c r="N558" s="26"/>
      <c r="O558" s="26"/>
      <c r="P558" s="26"/>
      <c r="Q558" s="26"/>
      <c r="R558" s="26"/>
      <c r="S558" s="26"/>
      <c r="T558" s="26"/>
      <c r="U558" s="26"/>
      <c r="V558" s="29"/>
      <c r="W558" s="29"/>
      <c r="X558" s="29"/>
      <c r="Y558" s="29"/>
      <c r="Z558" s="29"/>
    </row>
    <row r="559" spans="1:26" ht="15.75" hidden="1" outlineLevel="1" x14ac:dyDescent="0.2">
      <c r="A559" s="8"/>
      <c r="B559" s="29"/>
      <c r="C559" s="125" t="s">
        <v>109</v>
      </c>
      <c r="D559" s="26" t="s">
        <v>1660</v>
      </c>
      <c r="E559" s="67" t="s">
        <v>91</v>
      </c>
      <c r="F559" s="67">
        <v>1</v>
      </c>
      <c r="G559" s="67">
        <f t="shared" si="82"/>
        <v>11</v>
      </c>
      <c r="H559" s="12"/>
      <c r="I559" s="26"/>
      <c r="J559" s="26"/>
      <c r="K559" s="26"/>
      <c r="L559" s="26"/>
      <c r="M559" s="26" t="s">
        <v>1661</v>
      </c>
      <c r="N559" s="26"/>
      <c r="O559" s="26"/>
      <c r="P559" s="26"/>
      <c r="Q559" s="26"/>
      <c r="R559" s="26"/>
      <c r="S559" s="26"/>
      <c r="T559" s="26"/>
      <c r="U559" s="26"/>
      <c r="V559" s="29"/>
      <c r="W559" s="29"/>
      <c r="X559" s="29"/>
      <c r="Y559" s="29"/>
      <c r="Z559" s="29"/>
    </row>
    <row r="560" spans="1:26" ht="15.75" hidden="1" outlineLevel="1" x14ac:dyDescent="0.2">
      <c r="A560" s="8"/>
      <c r="B560" s="29"/>
      <c r="C560" s="125" t="s">
        <v>109</v>
      </c>
      <c r="D560" s="26" t="s">
        <v>1662</v>
      </c>
      <c r="E560" s="67" t="s">
        <v>91</v>
      </c>
      <c r="F560" s="67">
        <v>1</v>
      </c>
      <c r="G560" s="67">
        <f t="shared" si="82"/>
        <v>11</v>
      </c>
      <c r="H560" s="12"/>
      <c r="I560" s="26"/>
      <c r="J560" s="26"/>
      <c r="K560" s="26"/>
      <c r="L560" s="26"/>
      <c r="M560" s="26" t="s">
        <v>1663</v>
      </c>
      <c r="N560" s="26"/>
      <c r="O560" s="26"/>
      <c r="P560" s="26"/>
      <c r="Q560" s="26"/>
      <c r="R560" s="26"/>
      <c r="S560" s="26"/>
      <c r="T560" s="26"/>
      <c r="U560" s="26"/>
      <c r="V560" s="29"/>
      <c r="W560" s="29"/>
      <c r="X560" s="29"/>
      <c r="Y560" s="29"/>
      <c r="Z560" s="29"/>
    </row>
    <row r="561" spans="1:26" ht="140.25" hidden="1" outlineLevel="1" x14ac:dyDescent="0.2">
      <c r="A561" s="8"/>
      <c r="B561" s="29"/>
      <c r="C561" s="125" t="s">
        <v>1020</v>
      </c>
      <c r="D561" s="26" t="s">
        <v>1664</v>
      </c>
      <c r="E561" s="67" t="s">
        <v>83</v>
      </c>
      <c r="F561" s="67">
        <v>1</v>
      </c>
      <c r="G561" s="67">
        <f t="shared" si="82"/>
        <v>12</v>
      </c>
      <c r="H561" s="12" t="s">
        <v>1665</v>
      </c>
      <c r="I561" s="26"/>
      <c r="J561" s="26"/>
      <c r="K561" s="26"/>
      <c r="L561" s="26"/>
      <c r="M561" s="26"/>
      <c r="N561" s="26"/>
      <c r="O561" s="26"/>
      <c r="P561" s="26" t="s">
        <v>83</v>
      </c>
      <c r="Q561" s="26"/>
      <c r="R561" s="26" t="str">
        <f t="shared" ref="R561:R563" si="84">IF(E561="no", H561, CONCATENATE(G561,". &lt;br&gt;",H561))</f>
        <v>12. &lt;br&gt;&lt;b&gt;Product details&lt;/b&gt;
&lt;br&gt;&lt;br&gt;Brand:
&lt;br&gt;&lt;h4&gt;&lt;font color=blue&gt;${rdtBrand_search}&lt;/h4&gt; 
&lt;br&gt;&lt;font color=black&gt;Parasite(s):
&lt;br&gt;&lt;font color=blue&gt;${parasite_search}
&lt;br&gt;&lt;font color=black&gt;Antigen(s):
&lt;br&gt;&lt;font color=blue&gt;${anti_search}
&lt;br&gt;&lt;font color=black&gt;Manufactured by: 
&lt;br&gt;&lt;font color=blue&gt;${rdtManu_search}
&lt;br&gt;
&lt;br&gt;&lt;font color=black&gt;&lt;b&gt;Confirm these details are correct:&lt;/b&gt;</v>
      </c>
      <c r="S561" s="26" t="s">
        <v>1666</v>
      </c>
      <c r="T561" s="26"/>
      <c r="U561" s="26"/>
      <c r="V561" s="29"/>
      <c r="W561" s="29"/>
      <c r="X561" s="29"/>
      <c r="Y561" s="29"/>
      <c r="Z561" s="29"/>
    </row>
    <row r="562" spans="1:26" ht="25.5" hidden="1" outlineLevel="1" x14ac:dyDescent="0.2">
      <c r="A562" s="8"/>
      <c r="B562" s="29"/>
      <c r="C562" s="125" t="s">
        <v>76</v>
      </c>
      <c r="D562" s="26" t="s">
        <v>1667</v>
      </c>
      <c r="E562" s="67" t="s">
        <v>91</v>
      </c>
      <c r="F562" s="67">
        <v>1</v>
      </c>
      <c r="G562" s="67">
        <f t="shared" si="82"/>
        <v>12</v>
      </c>
      <c r="H562" s="12" t="s">
        <v>1668</v>
      </c>
      <c r="I562" s="26"/>
      <c r="J562" s="26"/>
      <c r="K562" s="26"/>
      <c r="L562" s="26" t="s">
        <v>1669</v>
      </c>
      <c r="M562" s="26"/>
      <c r="N562" s="26"/>
      <c r="O562" s="26"/>
      <c r="P562" s="26"/>
      <c r="Q562" s="26"/>
      <c r="R562" s="26" t="str">
        <f t="shared" si="84"/>
        <v>No pre-loaded data was found for this brand name. Therefore, you can manually enter product information.</v>
      </c>
      <c r="S562" s="26" t="s">
        <v>1670</v>
      </c>
      <c r="T562" s="26"/>
      <c r="U562" s="26"/>
      <c r="V562" s="29"/>
      <c r="W562" s="29"/>
      <c r="X562" s="29"/>
      <c r="Y562" s="29"/>
      <c r="Z562" s="29"/>
    </row>
    <row r="563" spans="1:26" ht="89.25" hidden="1" outlineLevel="1" x14ac:dyDescent="0.2">
      <c r="A563" s="8"/>
      <c r="B563" s="29"/>
      <c r="C563" s="125" t="s">
        <v>76</v>
      </c>
      <c r="D563" s="26" t="s">
        <v>1671</v>
      </c>
      <c r="E563" s="67" t="s">
        <v>91</v>
      </c>
      <c r="F563" s="67">
        <v>1</v>
      </c>
      <c r="G563" s="67">
        <f t="shared" si="82"/>
        <v>12</v>
      </c>
      <c r="H563" s="12" t="s">
        <v>1672</v>
      </c>
      <c r="I563" s="26"/>
      <c r="J563" s="26"/>
      <c r="K563" s="26"/>
      <c r="L563" s="26" t="s">
        <v>1673</v>
      </c>
      <c r="M563" s="26"/>
      <c r="N563" s="26"/>
      <c r="O563" s="26"/>
      <c r="P563" s="26"/>
      <c r="Q563" s="26"/>
      <c r="R563" s="26" t="str">
        <f t="shared" si="84"/>
        <v>You indicated that the details for &lt;font color=red&gt;${rdtBrand_search}&lt;font color=black&gt; were &lt;b&gt;NOT&lt;/b&gt; correct. 
&lt;br&gt;
If you would like to try a new search, go back and restart the search. 
&lt;br&gt;
If you would like to manually enter information for this product, go back and select 'Manual Entry'</v>
      </c>
      <c r="S563" s="26" t="s">
        <v>1674</v>
      </c>
      <c r="T563" s="26"/>
      <c r="U563" s="26"/>
      <c r="V563" s="29"/>
      <c r="W563" s="29"/>
      <c r="X563" s="29"/>
      <c r="Y563" s="29"/>
      <c r="Z563" s="29"/>
    </row>
    <row r="564" spans="1:26" ht="15.75" hidden="1" outlineLevel="1" x14ac:dyDescent="0.2">
      <c r="A564" s="8"/>
      <c r="B564" s="29"/>
      <c r="C564" s="125" t="s">
        <v>174</v>
      </c>
      <c r="D564" s="26" t="s">
        <v>1645</v>
      </c>
      <c r="E564" s="67" t="s">
        <v>91</v>
      </c>
      <c r="F564" s="67">
        <v>1</v>
      </c>
      <c r="G564" s="67">
        <f t="shared" si="82"/>
        <v>12</v>
      </c>
      <c r="H564" s="12"/>
      <c r="I564" s="26"/>
      <c r="J564" s="26"/>
      <c r="K564" s="26"/>
      <c r="L564" s="26"/>
      <c r="M564" s="26"/>
      <c r="N564" s="26"/>
      <c r="O564" s="26"/>
      <c r="P564" s="26"/>
      <c r="Q564" s="26"/>
      <c r="R564" s="26"/>
      <c r="S564" s="26"/>
      <c r="T564" s="26"/>
      <c r="U564" s="26"/>
      <c r="V564" s="29"/>
      <c r="W564" s="29"/>
      <c r="X564" s="29"/>
      <c r="Y564" s="29"/>
      <c r="Z564" s="29"/>
    </row>
    <row r="565" spans="1:26" ht="15.75" outlineLevel="1" x14ac:dyDescent="0.2">
      <c r="A565" s="8" t="s">
        <v>1217</v>
      </c>
      <c r="B565" s="29"/>
      <c r="C565" s="125" t="s">
        <v>89</v>
      </c>
      <c r="D565" s="26" t="s">
        <v>1675</v>
      </c>
      <c r="E565" s="67" t="s">
        <v>91</v>
      </c>
      <c r="F565" s="67">
        <v>1</v>
      </c>
      <c r="G565" s="67">
        <f t="shared" si="82"/>
        <v>12</v>
      </c>
      <c r="H565" s="36" t="s">
        <v>1219</v>
      </c>
      <c r="I565" s="26"/>
      <c r="J565" s="26"/>
      <c r="K565" s="26"/>
      <c r="L565" s="26" t="s">
        <v>1676</v>
      </c>
      <c r="M565" s="26"/>
      <c r="N565" s="26"/>
      <c r="O565" s="26"/>
      <c r="P565" s="26"/>
      <c r="Q565" s="26"/>
      <c r="R565" s="26" t="str">
        <f t="shared" ref="R565:R567" si="85">IF(E565="no", H565, CONCATENATE(G565,". &lt;br&gt;",H565))</f>
        <v>Manual entry:</v>
      </c>
      <c r="S565" s="26" t="s">
        <v>1221</v>
      </c>
      <c r="T565" s="26"/>
      <c r="U565" s="26"/>
      <c r="V565" s="29"/>
      <c r="W565" s="29"/>
      <c r="X565" s="29"/>
      <c r="Y565" s="29"/>
      <c r="Z565" s="29"/>
    </row>
    <row r="566" spans="1:26" ht="15.75" hidden="1" outlineLevel="1" x14ac:dyDescent="0.2">
      <c r="A566" s="8"/>
      <c r="B566" s="29"/>
      <c r="C566" s="125" t="s">
        <v>144</v>
      </c>
      <c r="D566" s="26" t="s">
        <v>1677</v>
      </c>
      <c r="E566" s="67" t="s">
        <v>83</v>
      </c>
      <c r="F566" s="67">
        <v>1</v>
      </c>
      <c r="G566" s="67" t="s">
        <v>328</v>
      </c>
      <c r="H566" s="12" t="s">
        <v>1238</v>
      </c>
      <c r="I566" s="26"/>
      <c r="J566" s="26"/>
      <c r="K566" s="26"/>
      <c r="L566" s="26"/>
      <c r="M566" s="26"/>
      <c r="N566" s="26"/>
      <c r="O566" s="26"/>
      <c r="P566" s="26" t="s">
        <v>83</v>
      </c>
      <c r="Q566" s="26"/>
      <c r="R566" s="26" t="str">
        <f t="shared" si="85"/>
        <v>1. &lt;br&gt;Brand name:</v>
      </c>
      <c r="S566" s="26" t="s">
        <v>1240</v>
      </c>
      <c r="T566" s="26"/>
      <c r="U566" s="26"/>
      <c r="V566" s="29"/>
      <c r="W566" s="29"/>
      <c r="X566" s="29"/>
      <c r="Y566" s="29"/>
      <c r="Z566" s="29"/>
    </row>
    <row r="567" spans="1:26" ht="15.75" hidden="1" outlineLevel="1" x14ac:dyDescent="0.2">
      <c r="A567" s="8"/>
      <c r="B567" s="29"/>
      <c r="C567" s="125" t="s">
        <v>1678</v>
      </c>
      <c r="D567" s="26" t="s">
        <v>1679</v>
      </c>
      <c r="E567" s="67" t="s">
        <v>83</v>
      </c>
      <c r="F567" s="67">
        <v>1</v>
      </c>
      <c r="G567" s="67" t="s">
        <v>237</v>
      </c>
      <c r="H567" s="12" t="s">
        <v>1680</v>
      </c>
      <c r="I567" s="26" t="s">
        <v>1681</v>
      </c>
      <c r="J567" s="68" t="s">
        <v>655</v>
      </c>
      <c r="K567" s="26" t="s">
        <v>1598</v>
      </c>
      <c r="L567" s="26"/>
      <c r="M567" s="26"/>
      <c r="N567" s="26" t="s">
        <v>411</v>
      </c>
      <c r="O567" s="26"/>
      <c r="P567" s="26" t="s">
        <v>83</v>
      </c>
      <c r="Q567" s="26"/>
      <c r="R567" s="26" t="str">
        <f t="shared" si="85"/>
        <v xml:space="preserve">2. &lt;br&gt;Parasite specie(s): </v>
      </c>
      <c r="S567" s="26" t="s">
        <v>1682</v>
      </c>
      <c r="T567" s="26" t="s">
        <v>1683</v>
      </c>
      <c r="U567" s="26" t="s">
        <v>661</v>
      </c>
      <c r="V567" s="29"/>
      <c r="W567" s="29"/>
      <c r="X567" s="29"/>
      <c r="Y567" s="29"/>
      <c r="Z567" s="29"/>
    </row>
    <row r="568" spans="1:26" ht="15.75" hidden="1" outlineLevel="1" x14ac:dyDescent="0.2">
      <c r="A568" s="8"/>
      <c r="B568" s="29"/>
      <c r="C568" s="125" t="s">
        <v>109</v>
      </c>
      <c r="D568" s="26" t="s">
        <v>1684</v>
      </c>
      <c r="E568" s="67" t="s">
        <v>91</v>
      </c>
      <c r="F568" s="67">
        <v>1</v>
      </c>
      <c r="G568" s="67" t="str">
        <f>IF(E568="no", G567, IF(F568=F567, G567+1, 1))</f>
        <v>2</v>
      </c>
      <c r="H568" s="12"/>
      <c r="I568" s="26"/>
      <c r="J568" s="26"/>
      <c r="K568" s="26"/>
      <c r="L568" s="26"/>
      <c r="M568" s="26" t="s">
        <v>1685</v>
      </c>
      <c r="N568" s="26"/>
      <c r="O568" s="26"/>
      <c r="P568" s="26"/>
      <c r="Q568" s="26"/>
      <c r="R568" s="26"/>
      <c r="S568" s="26"/>
      <c r="T568" s="26"/>
      <c r="U568" s="26"/>
      <c r="V568" s="29"/>
      <c r="W568" s="29"/>
      <c r="X568" s="29"/>
      <c r="Y568" s="29"/>
      <c r="Z568" s="29"/>
    </row>
    <row r="569" spans="1:26" ht="15.75" hidden="1" outlineLevel="1" x14ac:dyDescent="0.2">
      <c r="A569" s="8"/>
      <c r="B569" s="29"/>
      <c r="C569" s="125" t="s">
        <v>1686</v>
      </c>
      <c r="D569" s="26" t="s">
        <v>1687</v>
      </c>
      <c r="E569" s="67" t="s">
        <v>83</v>
      </c>
      <c r="F569" s="67">
        <v>1</v>
      </c>
      <c r="G569" s="67" t="s">
        <v>1688</v>
      </c>
      <c r="H569" s="12" t="s">
        <v>1689</v>
      </c>
      <c r="I569" s="26" t="s">
        <v>1681</v>
      </c>
      <c r="J569" s="68" t="s">
        <v>655</v>
      </c>
      <c r="K569" s="26" t="s">
        <v>1598</v>
      </c>
      <c r="L569" s="26"/>
      <c r="M569" s="26"/>
      <c r="N569" s="26" t="s">
        <v>411</v>
      </c>
      <c r="O569" s="26"/>
      <c r="P569" s="26" t="s">
        <v>83</v>
      </c>
      <c r="Q569" s="26"/>
      <c r="R569" s="26" t="str">
        <f>IF(E569="no", H569, CONCATENATE(G569,". &lt;br&gt;",H569))</f>
        <v xml:space="preserve">3. &lt;br&gt;Antigen test(s): </v>
      </c>
      <c r="S569" s="26" t="s">
        <v>1690</v>
      </c>
      <c r="T569" s="26" t="s">
        <v>1683</v>
      </c>
      <c r="U569" s="26" t="s">
        <v>661</v>
      </c>
      <c r="V569" s="29"/>
      <c r="W569" s="29"/>
      <c r="X569" s="29"/>
      <c r="Y569" s="29"/>
      <c r="Z569" s="29"/>
    </row>
    <row r="570" spans="1:26" ht="15.75" hidden="1" outlineLevel="1" x14ac:dyDescent="0.2">
      <c r="A570" s="8"/>
      <c r="B570" s="29"/>
      <c r="C570" s="125" t="s">
        <v>109</v>
      </c>
      <c r="D570" s="26" t="s">
        <v>1691</v>
      </c>
      <c r="E570" s="67" t="s">
        <v>91</v>
      </c>
      <c r="F570" s="67">
        <v>1</v>
      </c>
      <c r="G570" s="67" t="str">
        <f t="shared" ref="G570:G608" si="86">IF(E570="no", G569, IF(F570=F569, G569+1, 1))</f>
        <v>3</v>
      </c>
      <c r="H570" s="12"/>
      <c r="I570" s="26"/>
      <c r="J570" s="26"/>
      <c r="K570" s="26"/>
      <c r="L570" s="26"/>
      <c r="M570" s="26" t="s">
        <v>1692</v>
      </c>
      <c r="N570" s="26"/>
      <c r="O570" s="26"/>
      <c r="P570" s="26"/>
      <c r="Q570" s="26"/>
      <c r="R570" s="26"/>
      <c r="S570" s="26"/>
      <c r="T570" s="26"/>
      <c r="U570" s="26"/>
      <c r="V570" s="29"/>
      <c r="W570" s="29"/>
      <c r="X570" s="29"/>
      <c r="Y570" s="29"/>
      <c r="Z570" s="29"/>
    </row>
    <row r="571" spans="1:26" ht="15.75" hidden="1" outlineLevel="1" x14ac:dyDescent="0.2">
      <c r="A571" s="8"/>
      <c r="B571" s="29"/>
      <c r="C571" s="125" t="s">
        <v>144</v>
      </c>
      <c r="D571" s="26" t="s">
        <v>1693</v>
      </c>
      <c r="E571" s="67" t="s">
        <v>83</v>
      </c>
      <c r="F571" s="67">
        <v>1</v>
      </c>
      <c r="G571" s="67">
        <f t="shared" si="86"/>
        <v>4</v>
      </c>
      <c r="H571" s="12" t="s">
        <v>1694</v>
      </c>
      <c r="I571" s="26"/>
      <c r="J571" s="26"/>
      <c r="K571" s="26"/>
      <c r="L571" s="26"/>
      <c r="M571" s="26"/>
      <c r="N571" s="26"/>
      <c r="O571" s="26"/>
      <c r="P571" s="26" t="s">
        <v>83</v>
      </c>
      <c r="Q571" s="26"/>
      <c r="R571" s="26" t="str">
        <f t="shared" ref="R571:R572" si="87">IF(E571="no", H571, CONCATENATE(G571,". &lt;br&gt;",H571))</f>
        <v>4. &lt;br&gt;Manufacturer:</v>
      </c>
      <c r="S571" s="26" t="s">
        <v>1695</v>
      </c>
      <c r="T571" s="26"/>
      <c r="U571" s="26"/>
      <c r="V571" s="29"/>
      <c r="W571" s="29"/>
      <c r="X571" s="29"/>
      <c r="Y571" s="29"/>
      <c r="Z571" s="29"/>
    </row>
    <row r="572" spans="1:26" ht="140.25" hidden="1" outlineLevel="1" x14ac:dyDescent="0.2">
      <c r="A572" s="8"/>
      <c r="B572" s="29"/>
      <c r="C572" s="125" t="s">
        <v>76</v>
      </c>
      <c r="D572" s="26" t="s">
        <v>1696</v>
      </c>
      <c r="E572" s="67" t="s">
        <v>91</v>
      </c>
      <c r="F572" s="67">
        <v>1</v>
      </c>
      <c r="G572" s="67">
        <f t="shared" si="86"/>
        <v>4</v>
      </c>
      <c r="H572" s="12" t="s">
        <v>1697</v>
      </c>
      <c r="I572" s="26"/>
      <c r="J572" s="26"/>
      <c r="K572" s="26"/>
      <c r="L572" s="26"/>
      <c r="M572" s="26"/>
      <c r="N572" s="26"/>
      <c r="O572" s="26"/>
      <c r="P572" s="26"/>
      <c r="Q572" s="26"/>
      <c r="R572" s="26" t="str">
        <f t="shared" si="87"/>
        <v>Confirm the product is: 
&lt;br&gt;&lt;h4&gt;&lt;font color=blue&gt;${r1}&lt;/h4&gt; 
&lt;br&gt;&lt;font color=black&gt;Parasite(s):
&lt;br&gt;&lt;font color=blue&gt;${r3_lbl} 
&lt;br&gt;&lt;font color=black&gt;Antigen(s):
&lt;br&gt;&lt;font color=blue&gt;${r2_lbl}
&lt;br&gt;&lt;font color=black&gt;manufactured by: 
&lt;br&gt;&lt;font color=blue&gt;${r4}
&lt;br&gt;
&lt;br&gt;Swipe forward if this information is correct. 
&lt;br&gt;Go back to fix any errors.</v>
      </c>
      <c r="S572" s="26" t="s">
        <v>1698</v>
      </c>
      <c r="T572" s="26"/>
      <c r="U572" s="26"/>
      <c r="V572" s="29"/>
      <c r="W572" s="29"/>
      <c r="X572" s="29"/>
      <c r="Y572" s="29"/>
      <c r="Z572" s="29"/>
    </row>
    <row r="573" spans="1:26" ht="15.75" hidden="1" outlineLevel="1" x14ac:dyDescent="0.2">
      <c r="A573" s="8"/>
      <c r="B573" s="29"/>
      <c r="C573" s="125" t="s">
        <v>174</v>
      </c>
      <c r="D573" s="26" t="s">
        <v>1675</v>
      </c>
      <c r="E573" s="67" t="s">
        <v>91</v>
      </c>
      <c r="F573" s="67">
        <v>1</v>
      </c>
      <c r="G573" s="67">
        <f t="shared" si="86"/>
        <v>4</v>
      </c>
      <c r="H573" s="12"/>
      <c r="I573" s="26"/>
      <c r="J573" s="26"/>
      <c r="K573" s="26"/>
      <c r="L573" s="26"/>
      <c r="M573" s="26"/>
      <c r="N573" s="26"/>
      <c r="O573" s="26"/>
      <c r="P573" s="26"/>
      <c r="Q573" s="26"/>
      <c r="R573" s="26"/>
      <c r="S573" s="26"/>
      <c r="T573" s="26"/>
      <c r="U573" s="26"/>
      <c r="V573" s="29"/>
      <c r="W573" s="29"/>
      <c r="X573" s="29"/>
      <c r="Y573" s="29"/>
      <c r="Z573" s="29"/>
    </row>
    <row r="574" spans="1:26" ht="15.75" hidden="1" outlineLevel="1" x14ac:dyDescent="0.2">
      <c r="A574" s="8"/>
      <c r="B574" s="29"/>
      <c r="C574" s="125" t="s">
        <v>109</v>
      </c>
      <c r="D574" s="26" t="s">
        <v>1699</v>
      </c>
      <c r="E574" s="67" t="s">
        <v>91</v>
      </c>
      <c r="F574" s="67">
        <v>1</v>
      </c>
      <c r="G574" s="67">
        <f t="shared" si="86"/>
        <v>4</v>
      </c>
      <c r="H574" s="12"/>
      <c r="I574" s="26"/>
      <c r="J574" s="26"/>
      <c r="K574" s="26"/>
      <c r="L574" s="26"/>
      <c r="M574" s="26" t="s">
        <v>1700</v>
      </c>
      <c r="N574" s="26"/>
      <c r="O574" s="26"/>
      <c r="P574" s="26"/>
      <c r="Q574" s="26"/>
      <c r="R574" s="26"/>
      <c r="S574" s="26"/>
      <c r="T574" s="26"/>
      <c r="U574" s="26"/>
      <c r="V574" s="29"/>
      <c r="W574" s="29"/>
      <c r="X574" s="29"/>
      <c r="Y574" s="29"/>
      <c r="Z574" s="29"/>
    </row>
    <row r="575" spans="1:26" ht="31.5" outlineLevel="1" x14ac:dyDescent="0.2">
      <c r="A575" s="71" t="s">
        <v>1701</v>
      </c>
      <c r="B575" s="29"/>
      <c r="C575" s="125" t="s">
        <v>89</v>
      </c>
      <c r="D575" s="26" t="s">
        <v>1702</v>
      </c>
      <c r="E575" s="67" t="s">
        <v>91</v>
      </c>
      <c r="F575" s="67">
        <v>1</v>
      </c>
      <c r="G575" s="67">
        <f t="shared" si="86"/>
        <v>4</v>
      </c>
      <c r="H575" s="36" t="s">
        <v>1388</v>
      </c>
      <c r="I575" s="26"/>
      <c r="J575" s="26"/>
      <c r="K575" s="26"/>
      <c r="L575" s="26"/>
      <c r="M575" s="26"/>
      <c r="N575" s="26"/>
      <c r="O575" s="26"/>
      <c r="P575" s="26"/>
      <c r="Q575" s="26"/>
      <c r="R575" s="26" t="str">
        <f t="shared" ref="R575:R585" si="88">IF(E575="no", H575, CONCATENATE(G575,". &lt;br&gt;",H575))</f>
        <v xml:space="preserve">Additional information input for all products: </v>
      </c>
      <c r="S575" s="26" t="s">
        <v>1389</v>
      </c>
      <c r="T575" s="26"/>
      <c r="U575" s="26"/>
      <c r="V575" s="29"/>
      <c r="W575" s="29"/>
      <c r="X575" s="29"/>
      <c r="Y575" s="29"/>
      <c r="Z575" s="29"/>
    </row>
    <row r="576" spans="1:26" ht="15.75" hidden="1" outlineLevel="1" x14ac:dyDescent="0.2">
      <c r="A576" s="8"/>
      <c r="B576" s="29"/>
      <c r="C576" s="125" t="s">
        <v>1390</v>
      </c>
      <c r="D576" s="26" t="s">
        <v>1703</v>
      </c>
      <c r="E576" s="67" t="s">
        <v>83</v>
      </c>
      <c r="F576" s="67">
        <v>1</v>
      </c>
      <c r="G576" s="67">
        <f t="shared" si="86"/>
        <v>5</v>
      </c>
      <c r="H576" s="12" t="s">
        <v>1704</v>
      </c>
      <c r="I576" s="26"/>
      <c r="J576" s="26"/>
      <c r="K576" s="26"/>
      <c r="L576" s="26"/>
      <c r="M576" s="26"/>
      <c r="N576" s="26"/>
      <c r="O576" s="26"/>
      <c r="P576" s="26" t="s">
        <v>83</v>
      </c>
      <c r="Q576" s="26"/>
      <c r="R576" s="26" t="str">
        <f t="shared" si="88"/>
        <v>5. &lt;br&gt;&lt;b&gt;[Observe]: &lt;/b&gt;&lt;br&gt;Country of manufacture:</v>
      </c>
      <c r="S576" s="26" t="s">
        <v>1705</v>
      </c>
      <c r="T576" s="26"/>
      <c r="U576" s="26"/>
      <c r="V576" s="29"/>
      <c r="W576" s="29"/>
      <c r="X576" s="29"/>
      <c r="Y576" s="29"/>
      <c r="Z576" s="29"/>
    </row>
    <row r="577" spans="1:26" ht="15.75" hidden="1" outlineLevel="1" x14ac:dyDescent="0.2">
      <c r="A577" s="8"/>
      <c r="B577" s="29"/>
      <c r="C577" s="125" t="s">
        <v>144</v>
      </c>
      <c r="D577" s="26" t="s">
        <v>1706</v>
      </c>
      <c r="E577" s="76" t="s">
        <v>91</v>
      </c>
      <c r="F577" s="76">
        <v>1</v>
      </c>
      <c r="G577" s="76">
        <f t="shared" si="86"/>
        <v>5</v>
      </c>
      <c r="H577" s="12" t="s">
        <v>1395</v>
      </c>
      <c r="I577" s="26"/>
      <c r="J577" s="26"/>
      <c r="K577" s="26"/>
      <c r="L577" s="26" t="s">
        <v>1707</v>
      </c>
      <c r="M577" s="26"/>
      <c r="N577" s="26"/>
      <c r="O577" s="26"/>
      <c r="P577" s="26" t="s">
        <v>83</v>
      </c>
      <c r="Q577" s="26"/>
      <c r="R577" s="26" t="str">
        <f t="shared" si="88"/>
        <v>Specify other country:</v>
      </c>
      <c r="S577" s="26" t="s">
        <v>1708</v>
      </c>
      <c r="T577" s="26"/>
      <c r="U577" s="26"/>
      <c r="V577" s="29"/>
      <c r="W577" s="29"/>
      <c r="X577" s="29"/>
      <c r="Y577" s="29"/>
      <c r="Z577" s="29"/>
    </row>
    <row r="578" spans="1:26" ht="25.5" hidden="1" outlineLevel="1" x14ac:dyDescent="0.2">
      <c r="A578" s="8"/>
      <c r="B578" s="29"/>
      <c r="C578" s="125" t="s">
        <v>212</v>
      </c>
      <c r="D578" s="26" t="s">
        <v>1709</v>
      </c>
      <c r="E578" s="67" t="s">
        <v>83</v>
      </c>
      <c r="F578" s="67">
        <v>1</v>
      </c>
      <c r="G578" s="67">
        <f t="shared" si="86"/>
        <v>6</v>
      </c>
      <c r="H578" s="12" t="s">
        <v>1710</v>
      </c>
      <c r="I578" s="26"/>
      <c r="J578" s="26"/>
      <c r="K578" s="26"/>
      <c r="L578" s="26"/>
      <c r="M578" s="26"/>
      <c r="N578" s="26"/>
      <c r="O578" s="26"/>
      <c r="P578" s="26" t="s">
        <v>83</v>
      </c>
      <c r="Q578" s="26"/>
      <c r="R578" s="26" t="str">
        <f t="shared" si="88"/>
        <v>6. &lt;br&gt;&lt;b&gt;[Observe]: &lt;/b&gt;&lt;br&gt;Is this a self-administration test kit with its buffer, pipette and lancet?</v>
      </c>
      <c r="S578" s="26" t="s">
        <v>1711</v>
      </c>
      <c r="T578" s="26"/>
      <c r="U578" s="26"/>
      <c r="V578" s="29"/>
      <c r="W578" s="29"/>
      <c r="X578" s="29"/>
      <c r="Y578" s="29"/>
      <c r="Z578" s="29"/>
    </row>
    <row r="579" spans="1:26" ht="236.25" hidden="1" outlineLevel="1" x14ac:dyDescent="0.2">
      <c r="A579" s="39" t="s">
        <v>1712</v>
      </c>
      <c r="B579" s="9" t="s">
        <v>1713</v>
      </c>
      <c r="C579" s="125" t="s">
        <v>350</v>
      </c>
      <c r="D579" s="26" t="s">
        <v>1714</v>
      </c>
      <c r="E579" s="67" t="s">
        <v>83</v>
      </c>
      <c r="F579" s="67">
        <v>1</v>
      </c>
      <c r="G579" s="67">
        <f t="shared" si="86"/>
        <v>7</v>
      </c>
      <c r="H579" s="12" t="s">
        <v>1715</v>
      </c>
      <c r="I579" s="26" t="s">
        <v>1716</v>
      </c>
      <c r="J579" s="26"/>
      <c r="K579" s="26" t="s">
        <v>1717</v>
      </c>
      <c r="L579" s="26"/>
      <c r="M579" s="26"/>
      <c r="N579" s="26" t="s">
        <v>356</v>
      </c>
      <c r="O579" s="26"/>
      <c r="P579" s="26" t="s">
        <v>83</v>
      </c>
      <c r="Q579" s="26"/>
      <c r="R579" s="26" t="str">
        <f t="shared" si="88"/>
        <v xml:space="preserve">7. &lt;br&gt;&lt;b&gt;[Ask]:&lt;/b&gt; &lt;br&gt;How many &lt;font color="blue"&gt;${rdtBrand}&lt;/font&gt; tests has this outlet sold/ distributed /used in the &lt;b&gt;last 7 days&lt;/b&gt; to individual consumers </v>
      </c>
      <c r="S579" s="26" t="s">
        <v>1718</v>
      </c>
      <c r="T579" s="26" t="s">
        <v>1719</v>
      </c>
      <c r="U579" s="26"/>
      <c r="V579" s="29"/>
      <c r="W579" s="29"/>
      <c r="X579" s="29"/>
      <c r="Y579" s="29"/>
      <c r="Z579" s="29"/>
    </row>
    <row r="580" spans="1:26" ht="51" hidden="1" outlineLevel="1" x14ac:dyDescent="0.2">
      <c r="A580" s="8"/>
      <c r="B580" s="29"/>
      <c r="C580" s="125" t="s">
        <v>76</v>
      </c>
      <c r="D580" s="26" t="s">
        <v>1720</v>
      </c>
      <c r="E580" s="67" t="s">
        <v>91</v>
      </c>
      <c r="F580" s="67">
        <v>1</v>
      </c>
      <c r="G580" s="67">
        <f t="shared" si="86"/>
        <v>7</v>
      </c>
      <c r="H580" s="12" t="s">
        <v>1721</v>
      </c>
      <c r="I580" s="26"/>
      <c r="J580" s="26"/>
      <c r="K580" s="26"/>
      <c r="L580" s="26" t="s">
        <v>1722</v>
      </c>
      <c r="M580" s="26"/>
      <c r="N580" s="26"/>
      <c r="O580" s="26"/>
      <c r="P580" s="26"/>
      <c r="Q580" s="26"/>
      <c r="R580" s="26" t="str">
        <f t="shared" si="88"/>
        <v>&lt;font color="red"&gt;
&lt;b&gt;Interviewer: &lt;/b&gt;
&lt;i&gt;Confirm &lt;font color="blue"&gt;${r13}&lt;/font&gt; is the correct number of tests sold&lt;/i&gt;
&lt;/font&gt;</v>
      </c>
      <c r="S580" s="26" t="s">
        <v>1723</v>
      </c>
      <c r="T580" s="26"/>
      <c r="U580" s="26"/>
      <c r="V580" s="29"/>
      <c r="W580" s="29"/>
      <c r="X580" s="29"/>
      <c r="Y580" s="29"/>
      <c r="Z580" s="29"/>
    </row>
    <row r="581" spans="1:26" ht="38.25" hidden="1" outlineLevel="1" x14ac:dyDescent="0.2">
      <c r="A581" s="8"/>
      <c r="B581" s="29"/>
      <c r="C581" s="123" t="s">
        <v>212</v>
      </c>
      <c r="D581" s="12" t="s">
        <v>1724</v>
      </c>
      <c r="E581" s="55" t="s">
        <v>83</v>
      </c>
      <c r="F581" s="55">
        <v>1</v>
      </c>
      <c r="G581" s="55">
        <f t="shared" si="86"/>
        <v>8</v>
      </c>
      <c r="H581" s="12" t="s">
        <v>1725</v>
      </c>
      <c r="I581" s="12"/>
      <c r="J581" s="12"/>
      <c r="K581" s="12"/>
      <c r="L581" s="12"/>
      <c r="M581" s="12"/>
      <c r="N581" s="12"/>
      <c r="O581" s="12"/>
      <c r="P581" s="12" t="s">
        <v>83</v>
      </c>
      <c r="Q581" s="12"/>
      <c r="R581" s="12" t="str">
        <f t="shared" si="88"/>
        <v>8. &lt;br&gt;Has the &lt;font color="blue"&gt;${rdtBrand}&lt;/font&gt; test been out of stock in the &lt;b&gt;last 3 months&lt;/b&gt;?</v>
      </c>
      <c r="S581" s="12" t="s">
        <v>1726</v>
      </c>
      <c r="T581" s="12"/>
      <c r="U581" s="12"/>
      <c r="V581" s="36"/>
      <c r="W581" s="36"/>
      <c r="X581" s="36"/>
      <c r="Y581" s="36"/>
      <c r="Z581" s="36"/>
    </row>
    <row r="582" spans="1:26" ht="25.5" hidden="1" outlineLevel="1" x14ac:dyDescent="0.2">
      <c r="A582" s="8"/>
      <c r="B582" s="29"/>
      <c r="C582" s="125" t="s">
        <v>212</v>
      </c>
      <c r="D582" s="26" t="s">
        <v>1727</v>
      </c>
      <c r="E582" s="67" t="s">
        <v>83</v>
      </c>
      <c r="F582" s="67">
        <v>1</v>
      </c>
      <c r="G582" s="67">
        <f t="shared" si="86"/>
        <v>9</v>
      </c>
      <c r="H582" s="12" t="s">
        <v>1728</v>
      </c>
      <c r="I582" s="26"/>
      <c r="J582" s="26"/>
      <c r="K582" s="26"/>
      <c r="L582" s="26"/>
      <c r="M582" s="26"/>
      <c r="N582" s="26"/>
      <c r="O582" s="26"/>
      <c r="P582" s="26" t="s">
        <v>83</v>
      </c>
      <c r="Q582" s="26"/>
      <c r="R582" s="26" t="str">
        <f t="shared" si="88"/>
        <v xml:space="preserve">9. &lt;br&gt;Do you or other staff use &lt;font color="blue"&gt;${rdtBrand}&lt;/font&gt; to &lt;b&gt;test customers in this outlet&lt;/b&gt;? </v>
      </c>
      <c r="S582" s="26" t="s">
        <v>1729</v>
      </c>
      <c r="T582" s="26"/>
      <c r="U582" s="26"/>
      <c r="V582" s="29"/>
      <c r="W582" s="29"/>
      <c r="X582" s="29"/>
      <c r="Y582" s="29"/>
      <c r="Z582" s="29"/>
    </row>
    <row r="583" spans="1:26" ht="94.5" outlineLevel="1" x14ac:dyDescent="0.2">
      <c r="A583" s="60" t="s">
        <v>1730</v>
      </c>
      <c r="B583" s="9" t="s">
        <v>1731</v>
      </c>
      <c r="C583" s="125" t="s">
        <v>89</v>
      </c>
      <c r="D583" s="26" t="s">
        <v>1732</v>
      </c>
      <c r="E583" s="67" t="s">
        <v>91</v>
      </c>
      <c r="F583" s="67">
        <v>1</v>
      </c>
      <c r="G583" s="67">
        <f t="shared" si="86"/>
        <v>9</v>
      </c>
      <c r="H583" s="36" t="s">
        <v>1733</v>
      </c>
      <c r="I583" s="26"/>
      <c r="J583" s="26"/>
      <c r="K583" s="26"/>
      <c r="L583" s="26" t="s">
        <v>1734</v>
      </c>
      <c r="M583" s="26"/>
      <c r="N583" s="26" t="s">
        <v>199</v>
      </c>
      <c r="O583" s="26"/>
      <c r="P583" s="26"/>
      <c r="Q583" s="26"/>
      <c r="R583" s="26" t="str">
        <f t="shared" si="88"/>
        <v>RDT in-outlet test cost</v>
      </c>
      <c r="S583" s="26" t="s">
        <v>1735</v>
      </c>
      <c r="T583" s="26"/>
      <c r="U583" s="26"/>
      <c r="V583" s="29"/>
      <c r="W583" s="29"/>
      <c r="X583" s="29"/>
      <c r="Y583" s="29"/>
      <c r="Z583" s="29"/>
    </row>
    <row r="584" spans="1:26" ht="38.25" hidden="1" outlineLevel="1" x14ac:dyDescent="0.2">
      <c r="A584" s="61"/>
      <c r="B584" s="29"/>
      <c r="C584" s="125" t="s">
        <v>350</v>
      </c>
      <c r="D584" s="26" t="s">
        <v>1736</v>
      </c>
      <c r="E584" s="67" t="s">
        <v>83</v>
      </c>
      <c r="F584" s="67">
        <v>1</v>
      </c>
      <c r="G584" s="67">
        <f t="shared" si="86"/>
        <v>10</v>
      </c>
      <c r="H584" s="12" t="s">
        <v>1737</v>
      </c>
      <c r="I584" s="26" t="s">
        <v>1516</v>
      </c>
      <c r="J584" s="26"/>
      <c r="K584" s="26" t="s">
        <v>1517</v>
      </c>
      <c r="L584" s="26"/>
      <c r="M584" s="26"/>
      <c r="N584" s="26" t="s">
        <v>356</v>
      </c>
      <c r="O584" s="26"/>
      <c r="P584" s="26" t="s">
        <v>83</v>
      </c>
      <c r="Q584" s="26"/>
      <c r="R584" s="26" t="str">
        <f t="shared" si="88"/>
        <v>10. &lt;br&gt;What is the &lt;b&gt;total cost&lt;/b&gt; to have a test conducted with the ${rdtBrand} RDT (including RDT cost and service fee) for &lt;br&gt;&lt;br&gt;
&lt;b&gt;An adult&lt;/b&gt;?</v>
      </c>
      <c r="S584" s="26" t="s">
        <v>1738</v>
      </c>
      <c r="T584" s="26" t="s">
        <v>1519</v>
      </c>
      <c r="U584" s="26"/>
      <c r="V584" s="29"/>
      <c r="W584" s="29"/>
      <c r="X584" s="29"/>
      <c r="Y584" s="29"/>
      <c r="Z584" s="29"/>
    </row>
    <row r="585" spans="1:26" ht="15.75" hidden="1" outlineLevel="1" x14ac:dyDescent="0.2">
      <c r="A585" s="61"/>
      <c r="B585" s="29"/>
      <c r="C585" s="125" t="s">
        <v>350</v>
      </c>
      <c r="D585" s="26" t="s">
        <v>1739</v>
      </c>
      <c r="E585" s="67" t="s">
        <v>91</v>
      </c>
      <c r="F585" s="67">
        <v>1</v>
      </c>
      <c r="G585" s="67">
        <f t="shared" si="86"/>
        <v>10</v>
      </c>
      <c r="H585" s="12" t="s">
        <v>1740</v>
      </c>
      <c r="I585" s="26" t="s">
        <v>1516</v>
      </c>
      <c r="J585" s="26"/>
      <c r="K585" s="26" t="s">
        <v>1517</v>
      </c>
      <c r="L585" s="26"/>
      <c r="M585" s="26"/>
      <c r="N585" s="26" t="s">
        <v>356</v>
      </c>
      <c r="O585" s="26"/>
      <c r="P585" s="26" t="s">
        <v>83</v>
      </c>
      <c r="Q585" s="26"/>
      <c r="R585" s="26" t="str">
        <f t="shared" si="88"/>
        <v>&lt;b&gt;A child under 5 years old&lt;/b&gt;?</v>
      </c>
      <c r="S585" s="26" t="s">
        <v>1741</v>
      </c>
      <c r="T585" s="26" t="s">
        <v>1519</v>
      </c>
      <c r="U585" s="26"/>
      <c r="V585" s="29"/>
      <c r="W585" s="29"/>
      <c r="X585" s="29"/>
      <c r="Y585" s="29"/>
      <c r="Z585" s="29"/>
    </row>
    <row r="586" spans="1:26" ht="15.75" hidden="1" outlineLevel="1" x14ac:dyDescent="0.2">
      <c r="A586" s="61"/>
      <c r="B586" s="29"/>
      <c r="C586" s="125" t="s">
        <v>174</v>
      </c>
      <c r="D586" s="26" t="s">
        <v>1732</v>
      </c>
      <c r="E586" s="67" t="s">
        <v>91</v>
      </c>
      <c r="F586" s="67">
        <v>1</v>
      </c>
      <c r="G586" s="67">
        <f t="shared" si="86"/>
        <v>10</v>
      </c>
      <c r="H586" s="12"/>
      <c r="I586" s="26"/>
      <c r="J586" s="26"/>
      <c r="K586" s="26"/>
      <c r="L586" s="26"/>
      <c r="M586" s="26"/>
      <c r="N586" s="26"/>
      <c r="O586" s="26"/>
      <c r="P586" s="26"/>
      <c r="Q586" s="26"/>
      <c r="R586" s="26"/>
      <c r="S586" s="26"/>
      <c r="T586" s="26"/>
      <c r="U586" s="26"/>
      <c r="V586" s="29"/>
      <c r="W586" s="29"/>
      <c r="X586" s="29"/>
      <c r="Y586" s="29"/>
      <c r="Z586" s="29"/>
    </row>
    <row r="587" spans="1:26" ht="51" hidden="1" outlineLevel="1" x14ac:dyDescent="0.2">
      <c r="A587" s="61"/>
      <c r="B587" s="29"/>
      <c r="C587" s="125" t="s">
        <v>76</v>
      </c>
      <c r="D587" s="26" t="s">
        <v>1742</v>
      </c>
      <c r="E587" s="67" t="s">
        <v>91</v>
      </c>
      <c r="F587" s="67">
        <v>1</v>
      </c>
      <c r="G587" s="67">
        <f t="shared" si="86"/>
        <v>10</v>
      </c>
      <c r="H587" s="12" t="s">
        <v>1743</v>
      </c>
      <c r="I587" s="26"/>
      <c r="J587" s="26"/>
      <c r="K587" s="26"/>
      <c r="L587" s="26" t="s">
        <v>1744</v>
      </c>
      <c r="M587" s="26"/>
      <c r="N587" s="26"/>
      <c r="O587" s="26"/>
      <c r="P587" s="26"/>
      <c r="Q587" s="26"/>
      <c r="R587" s="26" t="str">
        <f t="shared" ref="R587:R592" si="89">IF(E587="no", H587, CONCATENATE(G587,". &lt;br&gt;",H587))</f>
        <v>&lt;font color="red"&gt;
&lt;b&gt;Interviewer: &lt;/b&gt;
&lt;i&gt;Confirm &lt;font color="blue"&gt;${r15b}&lt;/font&gt; is the correct cost&lt;/i&gt;
&lt;/font&gt;</v>
      </c>
      <c r="S587" s="26" t="s">
        <v>1745</v>
      </c>
      <c r="T587" s="26"/>
      <c r="U587" s="26"/>
      <c r="V587" s="29"/>
      <c r="W587" s="29"/>
      <c r="X587" s="29"/>
      <c r="Y587" s="29"/>
      <c r="Z587" s="29"/>
    </row>
    <row r="588" spans="1:26" ht="51" hidden="1" outlineLevel="1" x14ac:dyDescent="0.2">
      <c r="A588" s="61"/>
      <c r="B588" s="29"/>
      <c r="C588" s="125" t="s">
        <v>76</v>
      </c>
      <c r="D588" s="26" t="s">
        <v>1746</v>
      </c>
      <c r="E588" s="67" t="s">
        <v>91</v>
      </c>
      <c r="F588" s="67">
        <v>1</v>
      </c>
      <c r="G588" s="67">
        <f t="shared" si="86"/>
        <v>10</v>
      </c>
      <c r="H588" s="12" t="s">
        <v>1747</v>
      </c>
      <c r="I588" s="26"/>
      <c r="J588" s="26"/>
      <c r="K588" s="26"/>
      <c r="L588" s="26" t="s">
        <v>1748</v>
      </c>
      <c r="M588" s="26"/>
      <c r="N588" s="26"/>
      <c r="O588" s="26"/>
      <c r="P588" s="26"/>
      <c r="Q588" s="26"/>
      <c r="R588" s="26" t="str">
        <f t="shared" si="89"/>
        <v>&lt;font color="red"&gt;
&lt;b&gt;Interviewer: &lt;/b&gt;
&lt;i&gt;Confirm &lt;font color="blue"&gt;${r15c}&lt;/font&gt; is the correct cost&lt;/i&gt;
&lt;/font&gt;</v>
      </c>
      <c r="S588" s="26" t="s">
        <v>1749</v>
      </c>
      <c r="T588" s="26"/>
      <c r="U588" s="26"/>
      <c r="V588" s="29"/>
      <c r="W588" s="29"/>
      <c r="X588" s="29"/>
      <c r="Y588" s="29"/>
      <c r="Z588" s="29"/>
    </row>
    <row r="589" spans="1:26" ht="25.5" hidden="1" outlineLevel="1" x14ac:dyDescent="0.2">
      <c r="A589" s="61"/>
      <c r="B589" s="29"/>
      <c r="C589" s="125" t="s">
        <v>212</v>
      </c>
      <c r="D589" s="26" t="s">
        <v>1750</v>
      </c>
      <c r="E589" s="67" t="s">
        <v>83</v>
      </c>
      <c r="F589" s="67">
        <v>1</v>
      </c>
      <c r="G589" s="67">
        <f t="shared" si="86"/>
        <v>11</v>
      </c>
      <c r="H589" s="12" t="s">
        <v>1751</v>
      </c>
      <c r="I589" s="26"/>
      <c r="J589" s="26"/>
      <c r="K589" s="26"/>
      <c r="L589" s="26"/>
      <c r="M589" s="26"/>
      <c r="N589" s="26"/>
      <c r="O589" s="26"/>
      <c r="P589" s="26" t="s">
        <v>83</v>
      </c>
      <c r="Q589" s="26"/>
      <c r="R589" s="26" t="str">
        <f t="shared" si="89"/>
        <v xml:space="preserve">11. &lt;br&gt;Does this outlet provide this brand of RDT for &lt;b&gt;clients to take away for testing somewhere else&lt;/b&gt;? </v>
      </c>
      <c r="S589" s="26" t="s">
        <v>1752</v>
      </c>
      <c r="T589" s="26"/>
      <c r="U589" s="26"/>
      <c r="V589" s="29"/>
      <c r="W589" s="29"/>
      <c r="X589" s="29"/>
      <c r="Y589" s="29"/>
      <c r="Z589" s="29"/>
    </row>
    <row r="590" spans="1:26" ht="15.75" outlineLevel="1" x14ac:dyDescent="0.2">
      <c r="A590" s="61"/>
      <c r="B590" s="29"/>
      <c r="C590" s="125" t="s">
        <v>89</v>
      </c>
      <c r="D590" s="26" t="s">
        <v>1753</v>
      </c>
      <c r="E590" s="67" t="s">
        <v>91</v>
      </c>
      <c r="F590" s="67">
        <v>1</v>
      </c>
      <c r="G590" s="67">
        <f t="shared" si="86"/>
        <v>11</v>
      </c>
      <c r="H590" s="36" t="s">
        <v>1754</v>
      </c>
      <c r="I590" s="26"/>
      <c r="J590" s="26"/>
      <c r="K590" s="26"/>
      <c r="L590" s="26" t="s">
        <v>1755</v>
      </c>
      <c r="M590" s="26"/>
      <c r="N590" s="26" t="s">
        <v>199</v>
      </c>
      <c r="O590" s="26"/>
      <c r="P590" s="26"/>
      <c r="Q590" s="26"/>
      <c r="R590" s="26" t="str">
        <f t="shared" si="89"/>
        <v>RDT take-away price</v>
      </c>
      <c r="S590" s="26" t="s">
        <v>1756</v>
      </c>
      <c r="T590" s="26"/>
      <c r="U590" s="26"/>
      <c r="V590" s="29"/>
      <c r="W590" s="29"/>
      <c r="X590" s="29"/>
      <c r="Y590" s="29"/>
      <c r="Z590" s="29"/>
    </row>
    <row r="591" spans="1:26" ht="25.5" hidden="1" outlineLevel="1" x14ac:dyDescent="0.2">
      <c r="A591" s="61"/>
      <c r="B591" s="29"/>
      <c r="C591" s="125" t="s">
        <v>350</v>
      </c>
      <c r="D591" s="26" t="s">
        <v>1757</v>
      </c>
      <c r="E591" s="67" t="s">
        <v>83</v>
      </c>
      <c r="F591" s="67">
        <v>1</v>
      </c>
      <c r="G591" s="67">
        <f t="shared" si="86"/>
        <v>12</v>
      </c>
      <c r="H591" s="12" t="s">
        <v>1758</v>
      </c>
      <c r="I591" s="26" t="s">
        <v>1516</v>
      </c>
      <c r="J591" s="26"/>
      <c r="K591" s="26" t="s">
        <v>1517</v>
      </c>
      <c r="L591" s="26"/>
      <c r="M591" s="26"/>
      <c r="N591" s="26" t="s">
        <v>356</v>
      </c>
      <c r="O591" s="26"/>
      <c r="P591" s="26" t="s">
        <v>83</v>
      </c>
      <c r="Q591" s="26"/>
      <c r="R591" s="26" t="str">
        <f t="shared" si="89"/>
        <v>12. &lt;br&gt;What is the cost of the &lt;font color="blue"&gt;${rdtBrand}&lt;/font&gt; RDT for: &lt;br&gt;
&lt;b&gt;An adult&lt;/b&gt;?</v>
      </c>
      <c r="S591" s="26" t="s">
        <v>1759</v>
      </c>
      <c r="T591" s="26" t="s">
        <v>1519</v>
      </c>
      <c r="U591" s="26"/>
      <c r="V591" s="29"/>
      <c r="W591" s="29"/>
      <c r="X591" s="29"/>
      <c r="Y591" s="29"/>
      <c r="Z591" s="29"/>
    </row>
    <row r="592" spans="1:26" ht="15.75" hidden="1" outlineLevel="1" x14ac:dyDescent="0.2">
      <c r="A592" s="61"/>
      <c r="B592" s="29"/>
      <c r="C592" s="125" t="s">
        <v>350</v>
      </c>
      <c r="D592" s="26" t="s">
        <v>1760</v>
      </c>
      <c r="E592" s="67" t="s">
        <v>91</v>
      </c>
      <c r="F592" s="67">
        <v>1</v>
      </c>
      <c r="G592" s="67">
        <f t="shared" si="86"/>
        <v>12</v>
      </c>
      <c r="H592" s="12" t="s">
        <v>1740</v>
      </c>
      <c r="I592" s="26" t="s">
        <v>1516</v>
      </c>
      <c r="J592" s="26"/>
      <c r="K592" s="26" t="s">
        <v>1517</v>
      </c>
      <c r="L592" s="26"/>
      <c r="M592" s="26"/>
      <c r="N592" s="26" t="s">
        <v>356</v>
      </c>
      <c r="O592" s="26"/>
      <c r="P592" s="26" t="s">
        <v>83</v>
      </c>
      <c r="Q592" s="26"/>
      <c r="R592" s="26" t="str">
        <f t="shared" si="89"/>
        <v>&lt;b&gt;A child under 5 years old&lt;/b&gt;?</v>
      </c>
      <c r="S592" s="26" t="s">
        <v>1741</v>
      </c>
      <c r="T592" s="26" t="s">
        <v>1519</v>
      </c>
      <c r="U592" s="26"/>
      <c r="V592" s="29"/>
      <c r="W592" s="29"/>
      <c r="X592" s="29"/>
      <c r="Y592" s="29"/>
      <c r="Z592" s="29"/>
    </row>
    <row r="593" spans="1:26" ht="15.75" hidden="1" outlineLevel="1" x14ac:dyDescent="0.2">
      <c r="A593" s="61"/>
      <c r="B593" s="29"/>
      <c r="C593" s="125" t="s">
        <v>174</v>
      </c>
      <c r="D593" s="26" t="s">
        <v>1753</v>
      </c>
      <c r="E593" s="67" t="s">
        <v>91</v>
      </c>
      <c r="F593" s="67">
        <v>1</v>
      </c>
      <c r="G593" s="67">
        <f t="shared" si="86"/>
        <v>12</v>
      </c>
      <c r="H593" s="12"/>
      <c r="I593" s="26"/>
      <c r="J593" s="26"/>
      <c r="K593" s="26"/>
      <c r="L593" s="26"/>
      <c r="M593" s="26"/>
      <c r="N593" s="26"/>
      <c r="O593" s="26"/>
      <c r="P593" s="26"/>
      <c r="Q593" s="26"/>
      <c r="R593" s="26"/>
      <c r="S593" s="26"/>
      <c r="T593" s="26"/>
      <c r="U593" s="26"/>
      <c r="V593" s="29"/>
      <c r="W593" s="29"/>
      <c r="X593" s="29"/>
      <c r="Y593" s="29"/>
      <c r="Z593" s="29"/>
    </row>
    <row r="594" spans="1:26" ht="51" hidden="1" outlineLevel="1" x14ac:dyDescent="0.2">
      <c r="A594" s="61"/>
      <c r="B594" s="29"/>
      <c r="C594" s="125" t="s">
        <v>76</v>
      </c>
      <c r="D594" s="26" t="s">
        <v>1761</v>
      </c>
      <c r="E594" s="67" t="s">
        <v>91</v>
      </c>
      <c r="F594" s="67">
        <v>1</v>
      </c>
      <c r="G594" s="67">
        <f t="shared" si="86"/>
        <v>12</v>
      </c>
      <c r="H594" s="12" t="s">
        <v>1762</v>
      </c>
      <c r="I594" s="26"/>
      <c r="J594" s="26"/>
      <c r="K594" s="26"/>
      <c r="L594" s="26" t="s">
        <v>1763</v>
      </c>
      <c r="M594" s="26"/>
      <c r="N594" s="26"/>
      <c r="O594" s="26"/>
      <c r="P594" s="26"/>
      <c r="Q594" s="26"/>
      <c r="R594" s="26" t="str">
        <f t="shared" ref="R594:R598" si="90">IF(E594="no", H594, CONCATENATE(G594,". &lt;br&gt;",H594))</f>
        <v>&lt;font color="red"&gt;
&lt;b&gt;Interviewer: &lt;/b&gt;
&lt;i&gt;Confirm &lt;font color="blue"&gt;${r16b}&lt;/font&gt; is the correct cost&lt;/i&gt;
&lt;/font&gt;</v>
      </c>
      <c r="S594" s="26" t="s">
        <v>1764</v>
      </c>
      <c r="T594" s="26"/>
      <c r="U594" s="26"/>
      <c r="V594" s="29"/>
      <c r="W594" s="29"/>
      <c r="X594" s="29"/>
      <c r="Y594" s="29"/>
      <c r="Z594" s="29"/>
    </row>
    <row r="595" spans="1:26" ht="51" hidden="1" outlineLevel="1" x14ac:dyDescent="0.2">
      <c r="A595" s="136"/>
      <c r="B595" s="29"/>
      <c r="C595" s="125" t="s">
        <v>76</v>
      </c>
      <c r="D595" s="26" t="s">
        <v>1765</v>
      </c>
      <c r="E595" s="67" t="s">
        <v>91</v>
      </c>
      <c r="F595" s="67">
        <v>1</v>
      </c>
      <c r="G595" s="67">
        <f t="shared" si="86"/>
        <v>12</v>
      </c>
      <c r="H595" s="12" t="s">
        <v>1766</v>
      </c>
      <c r="I595" s="26"/>
      <c r="J595" s="26"/>
      <c r="K595" s="26"/>
      <c r="L595" s="26" t="s">
        <v>1767</v>
      </c>
      <c r="M595" s="26"/>
      <c r="N595" s="26"/>
      <c r="O595" s="26"/>
      <c r="P595" s="26"/>
      <c r="Q595" s="26"/>
      <c r="R595" s="26" t="str">
        <f t="shared" si="90"/>
        <v>&lt;font color="red"&gt;
&lt;b&gt;Interviewer: &lt;/b&gt;
&lt;i&gt;Confirm &lt;font color="blue"&gt;${r16c}&lt;/font&gt; is the correct cost&lt;/i&gt;
&lt;/font&gt;</v>
      </c>
      <c r="S595" s="26" t="s">
        <v>1768</v>
      </c>
      <c r="T595" s="26"/>
      <c r="U595" s="26"/>
      <c r="V595" s="29"/>
      <c r="W595" s="29"/>
      <c r="X595" s="29"/>
      <c r="Y595" s="29"/>
      <c r="Z595" s="29"/>
    </row>
    <row r="596" spans="1:26" ht="78.75" outlineLevel="1" x14ac:dyDescent="0.2">
      <c r="A596" s="60" t="s">
        <v>1769</v>
      </c>
      <c r="B596" s="29"/>
      <c r="C596" s="125" t="s">
        <v>89</v>
      </c>
      <c r="D596" s="26" t="s">
        <v>1770</v>
      </c>
      <c r="E596" s="67" t="s">
        <v>91</v>
      </c>
      <c r="F596" s="67">
        <v>1</v>
      </c>
      <c r="G596" s="67">
        <f t="shared" si="86"/>
        <v>12</v>
      </c>
      <c r="H596" s="36" t="s">
        <v>1771</v>
      </c>
      <c r="I596" s="26"/>
      <c r="J596" s="26"/>
      <c r="K596" s="26"/>
      <c r="L596" s="26"/>
      <c r="M596" s="26"/>
      <c r="N596" s="26" t="s">
        <v>199</v>
      </c>
      <c r="O596" s="26"/>
      <c r="P596" s="26"/>
      <c r="Q596" s="26"/>
      <c r="R596" s="26" t="str">
        <f t="shared" si="90"/>
        <v>Wholesale price paid</v>
      </c>
      <c r="S596" s="26" t="s">
        <v>1772</v>
      </c>
      <c r="T596" s="26"/>
      <c r="U596" s="26"/>
      <c r="V596" s="29"/>
      <c r="W596" s="29"/>
      <c r="X596" s="29"/>
      <c r="Y596" s="29"/>
      <c r="Z596" s="29"/>
    </row>
    <row r="597" spans="1:26" ht="38.25" hidden="1" outlineLevel="1" x14ac:dyDescent="0.2">
      <c r="A597" s="61"/>
      <c r="B597" s="29"/>
      <c r="C597" s="125" t="s">
        <v>350</v>
      </c>
      <c r="D597" s="26" t="s">
        <v>1773</v>
      </c>
      <c r="E597" s="67" t="s">
        <v>83</v>
      </c>
      <c r="F597" s="67">
        <v>1</v>
      </c>
      <c r="G597" s="67">
        <f t="shared" si="86"/>
        <v>13</v>
      </c>
      <c r="H597" s="12" t="s">
        <v>1774</v>
      </c>
      <c r="I597" s="26"/>
      <c r="J597" s="26"/>
      <c r="K597" s="26" t="s">
        <v>1495</v>
      </c>
      <c r="L597" s="26"/>
      <c r="M597" s="26"/>
      <c r="N597" s="26" t="s">
        <v>356</v>
      </c>
      <c r="O597" s="26"/>
      <c r="P597" s="26" t="s">
        <v>83</v>
      </c>
      <c r="Q597" s="26"/>
      <c r="R597" s="26" t="str">
        <f t="shared" si="90"/>
        <v xml:space="preserve">13. &lt;br&gt;For the outlet's most recent purchase of &lt;font color="blue"&gt;${rdtBrand}&lt;/font&gt; RDTs, you bought: 
&lt;b&gt;Number of RDTs&lt;/b&gt;: </v>
      </c>
      <c r="S597" s="26" t="s">
        <v>1775</v>
      </c>
      <c r="T597" s="26"/>
      <c r="U597" s="26"/>
      <c r="V597" s="29"/>
      <c r="W597" s="29"/>
      <c r="X597" s="29"/>
      <c r="Y597" s="29"/>
      <c r="Z597" s="29"/>
    </row>
    <row r="598" spans="1:26" ht="15.75" hidden="1" outlineLevel="1" x14ac:dyDescent="0.2">
      <c r="A598" s="61"/>
      <c r="B598" s="29"/>
      <c r="C598" s="125" t="s">
        <v>350</v>
      </c>
      <c r="D598" s="26" t="s">
        <v>1776</v>
      </c>
      <c r="E598" s="67" t="s">
        <v>91</v>
      </c>
      <c r="F598" s="67">
        <v>1</v>
      </c>
      <c r="G598" s="67">
        <f t="shared" si="86"/>
        <v>13</v>
      </c>
      <c r="H598" s="12" t="s">
        <v>1777</v>
      </c>
      <c r="I598" s="26" t="s">
        <v>1516</v>
      </c>
      <c r="J598" s="26"/>
      <c r="K598" s="26" t="s">
        <v>1495</v>
      </c>
      <c r="L598" s="26"/>
      <c r="M598" s="26"/>
      <c r="N598" s="26" t="s">
        <v>356</v>
      </c>
      <c r="O598" s="26"/>
      <c r="P598" s="26" t="s">
        <v>83</v>
      </c>
      <c r="Q598" s="26"/>
      <c r="R598" s="26" t="str">
        <f t="shared" si="90"/>
        <v xml:space="preserve">&lt;b&gt;For a total price of&lt;b&gt;: </v>
      </c>
      <c r="S598" s="26" t="s">
        <v>1778</v>
      </c>
      <c r="T598" s="26" t="s">
        <v>1519</v>
      </c>
      <c r="U598" s="26"/>
      <c r="V598" s="29"/>
      <c r="W598" s="29"/>
      <c r="X598" s="29"/>
      <c r="Y598" s="29"/>
      <c r="Z598" s="29"/>
    </row>
    <row r="599" spans="1:26" ht="15.75" hidden="1" outlineLevel="1" x14ac:dyDescent="0.2">
      <c r="A599" s="61"/>
      <c r="B599" s="29"/>
      <c r="C599" s="125" t="s">
        <v>174</v>
      </c>
      <c r="D599" s="26" t="s">
        <v>1770</v>
      </c>
      <c r="E599" s="67" t="s">
        <v>91</v>
      </c>
      <c r="F599" s="67">
        <v>1</v>
      </c>
      <c r="G599" s="67">
        <f t="shared" si="86"/>
        <v>13</v>
      </c>
      <c r="H599" s="36"/>
      <c r="I599" s="26"/>
      <c r="J599" s="26"/>
      <c r="K599" s="26"/>
      <c r="L599" s="26"/>
      <c r="M599" s="26"/>
      <c r="N599" s="26"/>
      <c r="O599" s="26"/>
      <c r="P599" s="26"/>
      <c r="Q599" s="26"/>
      <c r="R599" s="26"/>
      <c r="S599" s="26"/>
      <c r="T599" s="26"/>
      <c r="U599" s="26"/>
      <c r="V599" s="29"/>
      <c r="W599" s="29"/>
      <c r="X599" s="29"/>
      <c r="Y599" s="29"/>
      <c r="Z599" s="29"/>
    </row>
    <row r="600" spans="1:26" ht="63.75" hidden="1" outlineLevel="1" x14ac:dyDescent="0.2">
      <c r="A600" s="61"/>
      <c r="B600" s="29"/>
      <c r="C600" s="125" t="s">
        <v>76</v>
      </c>
      <c r="D600" s="26" t="s">
        <v>1779</v>
      </c>
      <c r="E600" s="67" t="s">
        <v>91</v>
      </c>
      <c r="F600" s="67">
        <v>1</v>
      </c>
      <c r="G600" s="67">
        <f t="shared" si="86"/>
        <v>13</v>
      </c>
      <c r="H600" s="12" t="s">
        <v>1780</v>
      </c>
      <c r="I600" s="26"/>
      <c r="J600" s="26"/>
      <c r="K600" s="26"/>
      <c r="L600" s="26" t="s">
        <v>1781</v>
      </c>
      <c r="M600" s="26"/>
      <c r="N600" s="26"/>
      <c r="O600" s="26"/>
      <c r="P600" s="26"/>
      <c r="Q600" s="26"/>
      <c r="R600" s="26" t="str">
        <f t="shared" ref="R600:R601" si="91">IF(E600="no", H600, CONCATENATE(G600,". &lt;br&gt;",H600))</f>
        <v>&lt;font color="red"&gt;
&lt;b&gt;Interviewer: &lt;/b&gt;
&lt;i&gt;Confirm &lt;font color="blue"&gt;${r17n}&lt;/font&gt; is the correct number ${rdtBrand} RDTs purchased&lt;/i&gt;
&lt;/font&gt;</v>
      </c>
      <c r="S600" s="26" t="s">
        <v>1782</v>
      </c>
      <c r="T600" s="26"/>
      <c r="U600" s="26"/>
      <c r="V600" s="29"/>
      <c r="W600" s="29"/>
      <c r="X600" s="29"/>
      <c r="Y600" s="29"/>
      <c r="Z600" s="29"/>
    </row>
    <row r="601" spans="1:26" ht="51" hidden="1" outlineLevel="1" x14ac:dyDescent="0.2">
      <c r="A601" s="136"/>
      <c r="B601" s="29"/>
      <c r="C601" s="125" t="s">
        <v>76</v>
      </c>
      <c r="D601" s="26" t="s">
        <v>1783</v>
      </c>
      <c r="E601" s="67" t="s">
        <v>91</v>
      </c>
      <c r="F601" s="67">
        <v>1</v>
      </c>
      <c r="G601" s="67">
        <f t="shared" si="86"/>
        <v>13</v>
      </c>
      <c r="H601" s="12" t="s">
        <v>1784</v>
      </c>
      <c r="I601" s="26"/>
      <c r="J601" s="26"/>
      <c r="K601" s="26"/>
      <c r="L601" s="26" t="s">
        <v>1785</v>
      </c>
      <c r="M601" s="26"/>
      <c r="N601" s="26"/>
      <c r="O601" s="26"/>
      <c r="P601" s="26"/>
      <c r="Q601" s="26"/>
      <c r="R601" s="26" t="str">
        <f t="shared" si="91"/>
        <v>&lt;font color="red"&gt;
&lt;b&gt;Interviewer: &lt;/b&gt;
&lt;i&gt;Confirm &lt;font color="blue"&gt;${r17p}&lt;/font&gt; is the correct cost&lt;/i&gt;
&lt;/font&gt;</v>
      </c>
      <c r="S601" s="26" t="s">
        <v>1786</v>
      </c>
      <c r="T601" s="26"/>
      <c r="U601" s="26"/>
      <c r="V601" s="29"/>
      <c r="W601" s="29"/>
      <c r="X601" s="29"/>
      <c r="Y601" s="29"/>
      <c r="Z601" s="29"/>
    </row>
    <row r="602" spans="1:26" ht="15.75" hidden="1" outlineLevel="1" x14ac:dyDescent="0.2">
      <c r="A602" s="8"/>
      <c r="B602" s="29"/>
      <c r="C602" s="123" t="s">
        <v>174</v>
      </c>
      <c r="D602" s="12" t="s">
        <v>1702</v>
      </c>
      <c r="E602" s="55" t="s">
        <v>91</v>
      </c>
      <c r="F602" s="55">
        <v>1</v>
      </c>
      <c r="G602" s="67">
        <f t="shared" si="86"/>
        <v>13</v>
      </c>
      <c r="H602" s="12"/>
      <c r="I602" s="12"/>
      <c r="J602" s="12"/>
      <c r="K602" s="12"/>
      <c r="L602" s="12"/>
      <c r="M602" s="12"/>
      <c r="N602" s="12"/>
      <c r="O602" s="12"/>
      <c r="P602" s="12"/>
      <c r="Q602" s="12"/>
      <c r="R602" s="12"/>
      <c r="S602" s="12"/>
      <c r="T602" s="12"/>
      <c r="U602" s="12"/>
      <c r="V602" s="36"/>
      <c r="W602" s="36"/>
      <c r="X602" s="36"/>
      <c r="Y602" s="36"/>
      <c r="Z602" s="36"/>
    </row>
    <row r="603" spans="1:26" ht="15.75" hidden="1" outlineLevel="1" x14ac:dyDescent="0.2">
      <c r="A603" s="8"/>
      <c r="B603" s="29"/>
      <c r="C603" s="123" t="s">
        <v>1571</v>
      </c>
      <c r="D603" s="12" t="s">
        <v>1635</v>
      </c>
      <c r="E603" s="55" t="s">
        <v>91</v>
      </c>
      <c r="F603" s="55">
        <v>1</v>
      </c>
      <c r="G603" s="67">
        <f t="shared" si="86"/>
        <v>13</v>
      </c>
      <c r="H603" s="12"/>
      <c r="I603" s="12"/>
      <c r="J603" s="12"/>
      <c r="K603" s="12"/>
      <c r="L603" s="12"/>
      <c r="M603" s="12"/>
      <c r="N603" s="12"/>
      <c r="O603" s="12"/>
      <c r="P603" s="12"/>
      <c r="Q603" s="12"/>
      <c r="R603" s="12"/>
      <c r="S603" s="12"/>
      <c r="T603" s="12"/>
      <c r="U603" s="12"/>
      <c r="V603" s="36"/>
      <c r="W603" s="36"/>
      <c r="X603" s="36"/>
      <c r="Y603" s="36"/>
      <c r="Z603" s="36"/>
    </row>
    <row r="604" spans="1:26" ht="15.75" outlineLevel="1" x14ac:dyDescent="0.2">
      <c r="A604" s="8"/>
      <c r="B604" s="29"/>
      <c r="C604" s="125" t="s">
        <v>89</v>
      </c>
      <c r="D604" s="26" t="s">
        <v>1787</v>
      </c>
      <c r="E604" s="67" t="s">
        <v>91</v>
      </c>
      <c r="F604" s="67">
        <v>1</v>
      </c>
      <c r="G604" s="67">
        <f t="shared" si="86"/>
        <v>13</v>
      </c>
      <c r="H604" s="36" t="s">
        <v>1788</v>
      </c>
      <c r="I604" s="26"/>
      <c r="J604" s="26"/>
      <c r="K604" s="26"/>
      <c r="L604" s="26" t="s">
        <v>466</v>
      </c>
      <c r="M604" s="26"/>
      <c r="N604" s="26"/>
      <c r="O604" s="26"/>
      <c r="P604" s="26"/>
      <c r="Q604" s="26"/>
      <c r="R604" s="26" t="str">
        <f t="shared" ref="R604:R606" si="92">IF(E604="no", H604, CONCATENATE(G604,". &lt;br&gt;",H604))</f>
        <v>&lt;Audit tracking&gt;</v>
      </c>
      <c r="S604" s="26" t="s">
        <v>1789</v>
      </c>
      <c r="T604" s="26"/>
      <c r="U604" s="26"/>
      <c r="V604" s="29"/>
      <c r="W604" s="29"/>
      <c r="X604" s="29"/>
      <c r="Y604" s="29"/>
      <c r="Z604" s="29"/>
    </row>
    <row r="605" spans="1:26" ht="63.75" hidden="1" outlineLevel="1" x14ac:dyDescent="0.2">
      <c r="A605" s="8"/>
      <c r="B605" s="29"/>
      <c r="C605" s="125" t="s">
        <v>1575</v>
      </c>
      <c r="D605" s="26" t="s">
        <v>1790</v>
      </c>
      <c r="E605" s="67" t="s">
        <v>83</v>
      </c>
      <c r="F605" s="67">
        <v>1</v>
      </c>
      <c r="G605" s="67">
        <f t="shared" si="86"/>
        <v>14</v>
      </c>
      <c r="H605" s="12" t="s">
        <v>1791</v>
      </c>
      <c r="I605" s="26"/>
      <c r="J605" s="26"/>
      <c r="K605" s="26"/>
      <c r="L605" s="26"/>
      <c r="M605" s="26"/>
      <c r="N605" s="26"/>
      <c r="O605" s="26"/>
      <c r="P605" s="26" t="s">
        <v>83</v>
      </c>
      <c r="Q605" s="26"/>
      <c r="R605" s="26" t="str">
        <f t="shared" si="92"/>
        <v>14. &lt;br&gt;&lt;b&gt;Interviewer: &lt;/b&gt; &lt;br&gt;Have you been able to record details for all the RDTs that you know are available in the outlet today?&lt;br&gt;
&lt;br&gt;&lt;font color=red&gt;ATTN: If **YOU** did not complete **ANY** audits using **THIS** form but your partner audited all antimalarials using their form, select **NO** here and select this reason on the next page.&lt;/font&gt;&lt;br&gt;</v>
      </c>
      <c r="S605" s="26" t="s">
        <v>1792</v>
      </c>
      <c r="T605" s="26"/>
      <c r="U605" s="26"/>
      <c r="V605" s="29"/>
      <c r="W605" s="29"/>
      <c r="X605" s="29"/>
      <c r="Y605" s="29"/>
      <c r="Z605" s="29"/>
    </row>
    <row r="606" spans="1:26" ht="15.75" hidden="1" outlineLevel="1" x14ac:dyDescent="0.2">
      <c r="A606" s="8"/>
      <c r="B606" s="29"/>
      <c r="C606" s="125" t="s">
        <v>144</v>
      </c>
      <c r="D606" s="26" t="s">
        <v>1793</v>
      </c>
      <c r="E606" s="67" t="s">
        <v>83</v>
      </c>
      <c r="F606" s="67">
        <v>1</v>
      </c>
      <c r="G606" s="67">
        <f t="shared" si="86"/>
        <v>15</v>
      </c>
      <c r="H606" s="12" t="s">
        <v>1580</v>
      </c>
      <c r="I606" s="26" t="s">
        <v>1581</v>
      </c>
      <c r="J606" s="26"/>
      <c r="K606" s="26"/>
      <c r="L606" s="26" t="s">
        <v>1794</v>
      </c>
      <c r="M606" s="26"/>
      <c r="N606" s="26"/>
      <c r="O606" s="26"/>
      <c r="P606" s="26" t="s">
        <v>83</v>
      </c>
      <c r="Q606" s="26"/>
      <c r="R606" s="26" t="str">
        <f t="shared" si="92"/>
        <v>15. &lt;br&gt;Reason for incomplete audit:</v>
      </c>
      <c r="S606" s="26" t="s">
        <v>1583</v>
      </c>
      <c r="T606" s="26" t="s">
        <v>1584</v>
      </c>
      <c r="U606" s="26"/>
      <c r="V606" s="29"/>
      <c r="W606" s="29"/>
      <c r="X606" s="29"/>
      <c r="Y606" s="29"/>
      <c r="Z606" s="29"/>
    </row>
    <row r="607" spans="1:26" ht="15.75" hidden="1" outlineLevel="1" x14ac:dyDescent="0.2">
      <c r="A607" s="8"/>
      <c r="B607" s="29"/>
      <c r="C607" s="125" t="s">
        <v>174</v>
      </c>
      <c r="D607" s="26" t="s">
        <v>1787</v>
      </c>
      <c r="E607" s="67" t="s">
        <v>91</v>
      </c>
      <c r="F607" s="67">
        <v>1</v>
      </c>
      <c r="G607" s="67">
        <f t="shared" si="86"/>
        <v>15</v>
      </c>
      <c r="H607" s="12"/>
      <c r="I607" s="26"/>
      <c r="J607" s="26"/>
      <c r="K607" s="26"/>
      <c r="L607" s="26"/>
      <c r="M607" s="26"/>
      <c r="N607" s="26"/>
      <c r="O607" s="26"/>
      <c r="P607" s="26"/>
      <c r="Q607" s="26"/>
      <c r="R607" s="26"/>
      <c r="S607" s="26"/>
      <c r="T607" s="26"/>
      <c r="U607" s="26"/>
      <c r="V607" s="29"/>
      <c r="W607" s="29"/>
      <c r="X607" s="29"/>
      <c r="Y607" s="29"/>
      <c r="Z607" s="29"/>
    </row>
    <row r="608" spans="1:26" ht="15.75" hidden="1" outlineLevel="1" x14ac:dyDescent="0.2">
      <c r="A608" s="8"/>
      <c r="B608" s="29"/>
      <c r="C608" s="19" t="s">
        <v>174</v>
      </c>
      <c r="D608" s="120" t="s">
        <v>1611</v>
      </c>
      <c r="E608" s="121" t="s">
        <v>91</v>
      </c>
      <c r="F608" s="121">
        <v>1</v>
      </c>
      <c r="G608" s="121">
        <f t="shared" si="86"/>
        <v>15</v>
      </c>
      <c r="H608" s="120"/>
      <c r="I608" s="120"/>
      <c r="J608" s="120"/>
      <c r="K608" s="120"/>
      <c r="L608" s="120"/>
      <c r="M608" s="120"/>
      <c r="N608" s="120"/>
      <c r="O608" s="120"/>
      <c r="P608" s="120"/>
      <c r="Q608" s="120"/>
      <c r="R608" s="120"/>
      <c r="S608" s="120"/>
      <c r="T608" s="120"/>
      <c r="U608" s="120"/>
      <c r="V608" s="120"/>
      <c r="W608" s="120"/>
      <c r="X608" s="120"/>
      <c r="Y608" s="120"/>
      <c r="Z608" s="120"/>
    </row>
    <row r="609" spans="1:26" ht="15.75" hidden="1" outlineLevel="1" x14ac:dyDescent="0.2">
      <c r="A609" s="8"/>
      <c r="B609" s="29"/>
      <c r="C609" s="142"/>
      <c r="D609" s="38"/>
      <c r="E609" s="73"/>
      <c r="F609" s="73"/>
      <c r="G609" s="73"/>
      <c r="H609" s="38"/>
      <c r="I609" s="38"/>
      <c r="J609" s="38"/>
      <c r="K609" s="38"/>
      <c r="L609" s="38"/>
      <c r="M609" s="38"/>
      <c r="N609" s="38"/>
      <c r="O609" s="38"/>
      <c r="P609" s="38"/>
      <c r="Q609" s="38"/>
      <c r="R609" s="38"/>
      <c r="S609" s="38"/>
      <c r="T609" s="38"/>
      <c r="U609" s="38"/>
      <c r="V609" s="38"/>
      <c r="W609" s="38"/>
      <c r="X609" s="38"/>
      <c r="Y609" s="38"/>
      <c r="Z609" s="38"/>
    </row>
    <row r="610" spans="1:26" ht="51" outlineLevel="1" x14ac:dyDescent="0.2">
      <c r="A610" s="119" t="s">
        <v>33</v>
      </c>
      <c r="B610" s="116" t="s">
        <v>1795</v>
      </c>
      <c r="C610" s="19" t="s">
        <v>89</v>
      </c>
      <c r="D610" s="120" t="s">
        <v>1796</v>
      </c>
      <c r="E610" s="121" t="s">
        <v>91</v>
      </c>
      <c r="F610" s="121" t="s">
        <v>237</v>
      </c>
      <c r="G610" s="121" t="s">
        <v>329</v>
      </c>
      <c r="H610" s="126" t="s">
        <v>1797</v>
      </c>
      <c r="I610" s="120"/>
      <c r="J610" s="120"/>
      <c r="K610" s="120"/>
      <c r="L610" s="120" t="s">
        <v>1798</v>
      </c>
      <c r="M610" s="120"/>
      <c r="N610" s="120"/>
      <c r="O610" s="120"/>
      <c r="P610" s="120"/>
      <c r="Q610" s="120"/>
      <c r="R610" s="120" t="str">
        <f t="shared" ref="R610:R612" si="93">IF(E610="no", H610, CONCATENATE(G610,". &lt;br&gt;",H610))</f>
        <v>Stock-outs of RDTs</v>
      </c>
      <c r="S610" s="120" t="s">
        <v>1799</v>
      </c>
      <c r="T610" s="120"/>
      <c r="U610" s="120"/>
      <c r="V610" s="126"/>
      <c r="W610" s="126"/>
      <c r="X610" s="126"/>
      <c r="Y610" s="126"/>
      <c r="Z610" s="126"/>
    </row>
    <row r="611" spans="1:26" ht="63" hidden="1" outlineLevel="1" x14ac:dyDescent="0.2">
      <c r="A611" s="60" t="s">
        <v>1800</v>
      </c>
      <c r="B611" s="12"/>
      <c r="C611" s="123" t="s">
        <v>212</v>
      </c>
      <c r="D611" s="12" t="s">
        <v>1801</v>
      </c>
      <c r="E611" s="55" t="s">
        <v>83</v>
      </c>
      <c r="F611" s="55" t="s">
        <v>237</v>
      </c>
      <c r="G611" s="55">
        <f t="shared" ref="G611:G613" si="94">IF(E611="no", G610, IF(F611=F610, G610+1, 1))</f>
        <v>1</v>
      </c>
      <c r="H611" s="12" t="s">
        <v>1802</v>
      </c>
      <c r="I611" s="12"/>
      <c r="J611" s="12"/>
      <c r="K611" s="12"/>
      <c r="L611" s="12"/>
      <c r="M611" s="12"/>
      <c r="N611" s="12"/>
      <c r="O611" s="12"/>
      <c r="P611" s="12" t="s">
        <v>83</v>
      </c>
      <c r="Q611" s="12"/>
      <c r="R611" s="12" t="str">
        <f t="shared" si="93"/>
        <v>1. &lt;br&gt;&lt;br&gt;Are there any RDTs that are sold out today, but that you have had in stock for the last 3 months?</v>
      </c>
      <c r="S611" s="12" t="s">
        <v>1803</v>
      </c>
      <c r="T611" s="12"/>
      <c r="U611" s="12"/>
      <c r="V611" s="12"/>
      <c r="W611" s="12"/>
      <c r="X611" s="12"/>
      <c r="Y611" s="12"/>
      <c r="Z611" s="12"/>
    </row>
    <row r="612" spans="1:26" ht="38.25" hidden="1" outlineLevel="1" x14ac:dyDescent="0.2">
      <c r="A612" s="61"/>
      <c r="B612" s="12"/>
      <c r="C612" s="123" t="s">
        <v>144</v>
      </c>
      <c r="D612" s="12" t="s">
        <v>1804</v>
      </c>
      <c r="E612" s="55" t="s">
        <v>83</v>
      </c>
      <c r="F612" s="55" t="s">
        <v>237</v>
      </c>
      <c r="G612" s="55">
        <f t="shared" si="94"/>
        <v>2</v>
      </c>
      <c r="H612" s="12" t="s">
        <v>1805</v>
      </c>
      <c r="I612" s="12"/>
      <c r="J612" s="12"/>
      <c r="K612" s="12"/>
      <c r="L612" s="12" t="s">
        <v>1806</v>
      </c>
      <c r="M612" s="12"/>
      <c r="N612" s="12"/>
      <c r="O612" s="12"/>
      <c r="P612" s="12" t="s">
        <v>83</v>
      </c>
      <c r="Q612" s="12"/>
      <c r="R612" s="12" t="str">
        <f t="shared" si="93"/>
        <v>2. &lt;br&gt;&lt;br&gt;Which types of RDTs that are sold out today, have you had in stock for the last 3 months?</v>
      </c>
      <c r="S612" s="12" t="s">
        <v>1807</v>
      </c>
      <c r="T612" s="12"/>
      <c r="U612" s="12"/>
      <c r="V612" s="12"/>
      <c r="W612" s="12"/>
      <c r="X612" s="12"/>
      <c r="Y612" s="12"/>
      <c r="Z612" s="12"/>
    </row>
    <row r="613" spans="1:26" ht="15.75" hidden="1" outlineLevel="1" x14ac:dyDescent="0.2">
      <c r="A613" s="8"/>
      <c r="B613" s="29"/>
      <c r="C613" s="19" t="s">
        <v>174</v>
      </c>
      <c r="D613" s="120" t="s">
        <v>1796</v>
      </c>
      <c r="E613" s="121" t="s">
        <v>91</v>
      </c>
      <c r="F613" s="121" t="s">
        <v>237</v>
      </c>
      <c r="G613" s="121">
        <f t="shared" si="94"/>
        <v>2</v>
      </c>
      <c r="H613" s="120"/>
      <c r="I613" s="120"/>
      <c r="J613" s="120"/>
      <c r="K613" s="120"/>
      <c r="L613" s="120"/>
      <c r="M613" s="120"/>
      <c r="N613" s="120"/>
      <c r="O613" s="120"/>
      <c r="P613" s="120"/>
      <c r="Q613" s="120"/>
      <c r="R613" s="120"/>
      <c r="S613" s="120"/>
      <c r="T613" s="120"/>
      <c r="U613" s="120"/>
      <c r="V613" s="120"/>
      <c r="W613" s="120"/>
      <c r="X613" s="120"/>
      <c r="Y613" s="120"/>
      <c r="Z613" s="120"/>
    </row>
    <row r="614" spans="1:26" ht="15.75" hidden="1" outlineLevel="1" x14ac:dyDescent="0.2">
      <c r="A614" s="28"/>
      <c r="B614" s="38"/>
      <c r="C614" s="142"/>
      <c r="D614" s="38"/>
      <c r="E614" s="73"/>
      <c r="F614" s="73"/>
      <c r="G614" s="73"/>
      <c r="H614" s="38"/>
      <c r="I614" s="38"/>
      <c r="J614" s="38"/>
      <c r="K614" s="38"/>
      <c r="L614" s="38"/>
      <c r="M614" s="38"/>
      <c r="N614" s="38"/>
      <c r="O614" s="38"/>
      <c r="P614" s="38"/>
      <c r="Q614" s="38"/>
      <c r="R614" s="38"/>
      <c r="S614" s="38"/>
      <c r="T614" s="38"/>
      <c r="U614" s="38"/>
      <c r="V614" s="38"/>
      <c r="W614" s="38"/>
      <c r="X614" s="38"/>
      <c r="Y614" s="38"/>
      <c r="Z614" s="38"/>
    </row>
    <row r="615" spans="1:26" ht="38.25" outlineLevel="1" x14ac:dyDescent="0.2">
      <c r="A615" s="119" t="s">
        <v>35</v>
      </c>
      <c r="B615" s="116" t="s">
        <v>1808</v>
      </c>
      <c r="C615" s="19" t="s">
        <v>89</v>
      </c>
      <c r="D615" s="120" t="s">
        <v>1809</v>
      </c>
      <c r="E615" s="121" t="s">
        <v>91</v>
      </c>
      <c r="F615" s="121" t="s">
        <v>1688</v>
      </c>
      <c r="G615" s="121" t="str">
        <f>IF(E615="no", G544, IF(F615=F544, G544+1, 1))</f>
        <v>0</v>
      </c>
      <c r="H615" s="120" t="s">
        <v>1810</v>
      </c>
      <c r="I615" s="120"/>
      <c r="J615" s="120"/>
      <c r="K615" s="120"/>
      <c r="L615" s="120" t="s">
        <v>1613</v>
      </c>
      <c r="M615" s="120"/>
      <c r="N615" s="120"/>
      <c r="O615" s="120"/>
      <c r="P615" s="120"/>
      <c r="Q615" s="120"/>
      <c r="R615" s="120" t="str">
        <f t="shared" ref="R615:R623" si="95">IF(E615="no", H615, CONCATENATE(G615,". &lt;br&gt;",H615))</f>
        <v>testing:</v>
      </c>
      <c r="S615" s="120" t="s">
        <v>1811</v>
      </c>
      <c r="T615" s="120"/>
      <c r="U615" s="120"/>
      <c r="V615" s="126"/>
      <c r="W615" s="126"/>
      <c r="X615" s="126"/>
      <c r="Y615" s="126"/>
      <c r="Z615" s="126"/>
    </row>
    <row r="616" spans="1:26" ht="15.75" hidden="1" outlineLevel="1" x14ac:dyDescent="0.2">
      <c r="A616" s="8"/>
      <c r="B616" s="77"/>
      <c r="C616" s="125" t="s">
        <v>1020</v>
      </c>
      <c r="D616" s="26" t="s">
        <v>1812</v>
      </c>
      <c r="E616" s="67" t="s">
        <v>83</v>
      </c>
      <c r="F616" s="67" t="s">
        <v>1688</v>
      </c>
      <c r="G616" s="67">
        <f>IF(E616="no", G130, IF(F616=F130, G130+1, 1))</f>
        <v>1</v>
      </c>
      <c r="H616" s="12" t="s">
        <v>1813</v>
      </c>
      <c r="I616" s="26"/>
      <c r="J616" s="26"/>
      <c r="K616" s="26"/>
      <c r="L616" s="26" t="s">
        <v>166</v>
      </c>
      <c r="M616" s="26"/>
      <c r="N616" s="26"/>
      <c r="O616" s="26"/>
      <c r="P616" s="26" t="s">
        <v>83</v>
      </c>
      <c r="Q616" s="26"/>
      <c r="R616" s="26" t="str">
        <f t="shared" si="95"/>
        <v>1. &lt;br&gt;&lt;br&gt;Is &lt;b&gt;malaria microscopy screening&lt;/b&gt; available here today?</v>
      </c>
      <c r="S616" s="26" t="s">
        <v>1814</v>
      </c>
      <c r="T616" s="26"/>
      <c r="U616" s="26"/>
      <c r="V616" s="29"/>
      <c r="W616" s="29"/>
      <c r="X616" s="29"/>
      <c r="Y616" s="29"/>
      <c r="Z616" s="29"/>
    </row>
    <row r="617" spans="1:26" ht="76.5" hidden="1" outlineLevel="1" x14ac:dyDescent="0.2">
      <c r="A617" s="8"/>
      <c r="B617" s="29"/>
      <c r="C617" s="125" t="s">
        <v>1815</v>
      </c>
      <c r="D617" s="26" t="s">
        <v>1816</v>
      </c>
      <c r="E617" s="67" t="s">
        <v>91</v>
      </c>
      <c r="F617" s="67" t="s">
        <v>1688</v>
      </c>
      <c r="G617" s="67">
        <f t="shared" ref="G617:G624" si="96">IF(E617="no", G616, IF(F617=F616, G616+1, 1))</f>
        <v>1</v>
      </c>
      <c r="H617" s="12" t="s">
        <v>1817</v>
      </c>
      <c r="I617" s="26"/>
      <c r="J617" s="26"/>
      <c r="K617" s="26"/>
      <c r="L617" s="26" t="s">
        <v>1818</v>
      </c>
      <c r="M617" s="26"/>
      <c r="N617" s="26"/>
      <c r="O617" s="26"/>
      <c r="P617" s="26" t="s">
        <v>83</v>
      </c>
      <c r="Q617" s="26"/>
      <c r="R617" s="26" t="str">
        <f t="shared" si="95"/>
        <v xml:space="preserve">&lt;font color="red"&gt;During the screening section of this interview, the provider said micrsocopy screening was available here today. 
&lt;br&gt;&lt;br&gt;
&lt;b&gt;Please confirm that microscopy screening isn't available today or go back and change your response to the previous question and continue with the audit.&lt;/b&gt;
 </v>
      </c>
      <c r="S617" s="26" t="s">
        <v>1819</v>
      </c>
      <c r="T617" s="26"/>
      <c r="U617" s="26"/>
      <c r="V617" s="29"/>
      <c r="W617" s="29"/>
      <c r="X617" s="29"/>
      <c r="Y617" s="29"/>
      <c r="Z617" s="29"/>
    </row>
    <row r="618" spans="1:26" ht="189" hidden="1" outlineLevel="1" x14ac:dyDescent="0.2">
      <c r="A618" s="39" t="s">
        <v>1820</v>
      </c>
      <c r="B618" s="9" t="s">
        <v>1821</v>
      </c>
      <c r="C618" s="125" t="s">
        <v>350</v>
      </c>
      <c r="D618" s="26" t="s">
        <v>1822</v>
      </c>
      <c r="E618" s="67" t="s">
        <v>83</v>
      </c>
      <c r="F618" s="67" t="s">
        <v>1688</v>
      </c>
      <c r="G618" s="67">
        <f t="shared" si="96"/>
        <v>2</v>
      </c>
      <c r="H618" s="12" t="s">
        <v>1823</v>
      </c>
      <c r="I618" s="26"/>
      <c r="J618" s="26"/>
      <c r="K618" s="26" t="s">
        <v>1517</v>
      </c>
      <c r="L618" s="26" t="s">
        <v>1824</v>
      </c>
      <c r="M618" s="26"/>
      <c r="N618" s="26" t="s">
        <v>356</v>
      </c>
      <c r="O618" s="26"/>
      <c r="P618" s="26" t="s">
        <v>83</v>
      </c>
      <c r="Q618" s="26"/>
      <c r="R618" s="26" t="str">
        <f t="shared" si="95"/>
        <v>2. &lt;br&gt;&lt;br&gt;How many people were tested for malaria at this facility/outlet using microscopy in the &lt;b&gt;past 7 days&lt;/b&gt;?</v>
      </c>
      <c r="S618" s="26" t="s">
        <v>1825</v>
      </c>
      <c r="T618" s="26"/>
      <c r="U618" s="26"/>
      <c r="V618" s="29"/>
      <c r="W618" s="29"/>
      <c r="X618" s="29"/>
      <c r="Y618" s="29"/>
      <c r="Z618" s="29"/>
    </row>
    <row r="619" spans="1:26" ht="63.75" hidden="1" outlineLevel="1" x14ac:dyDescent="0.2">
      <c r="A619" s="8"/>
      <c r="B619" s="78"/>
      <c r="C619" s="125" t="s">
        <v>76</v>
      </c>
      <c r="D619" s="26" t="s">
        <v>1826</v>
      </c>
      <c r="E619" s="67" t="s">
        <v>91</v>
      </c>
      <c r="F619" s="67" t="s">
        <v>1688</v>
      </c>
      <c r="G619" s="67">
        <f t="shared" si="96"/>
        <v>2</v>
      </c>
      <c r="H619" s="12" t="s">
        <v>1827</v>
      </c>
      <c r="I619" s="26"/>
      <c r="J619" s="26"/>
      <c r="K619" s="26"/>
      <c r="L619" s="26" t="s">
        <v>1828</v>
      </c>
      <c r="M619" s="26"/>
      <c r="N619" s="26"/>
      <c r="O619" s="26"/>
      <c r="P619" s="26"/>
      <c r="Q619" s="26"/>
      <c r="R619" s="26" t="str">
        <f t="shared" si="95"/>
        <v>&lt;font color="red"&gt;
&lt;b&gt;Interviewer: &lt;/b&gt;
&lt;i&gt;Confirm &lt;font color="blue"&gt;${d4}&lt;/font&gt; is the correct number of people tested before proceeding&lt;/i&gt;
&lt;/font&gt;</v>
      </c>
      <c r="S619" s="26" t="s">
        <v>1829</v>
      </c>
      <c r="T619" s="26"/>
      <c r="U619" s="26"/>
      <c r="V619" s="29"/>
      <c r="W619" s="29"/>
      <c r="X619" s="29"/>
      <c r="Y619" s="29"/>
      <c r="Z619" s="29"/>
    </row>
    <row r="620" spans="1:26" ht="94.5" hidden="1" outlineLevel="1" x14ac:dyDescent="0.2">
      <c r="A620" s="60" t="s">
        <v>1830</v>
      </c>
      <c r="B620" s="9" t="s">
        <v>1821</v>
      </c>
      <c r="C620" s="125" t="s">
        <v>350</v>
      </c>
      <c r="D620" s="26" t="s">
        <v>1831</v>
      </c>
      <c r="E620" s="67" t="s">
        <v>83</v>
      </c>
      <c r="F620" s="67" t="s">
        <v>1688</v>
      </c>
      <c r="G620" s="67">
        <f t="shared" si="96"/>
        <v>3</v>
      </c>
      <c r="H620" s="12" t="s">
        <v>1832</v>
      </c>
      <c r="I620" s="26" t="s">
        <v>1516</v>
      </c>
      <c r="J620" s="26"/>
      <c r="K620" s="26" t="s">
        <v>1517</v>
      </c>
      <c r="L620" s="26" t="s">
        <v>1824</v>
      </c>
      <c r="M620" s="26"/>
      <c r="N620" s="26" t="s">
        <v>356</v>
      </c>
      <c r="O620" s="26"/>
      <c r="P620" s="26" t="s">
        <v>83</v>
      </c>
      <c r="Q620" s="26"/>
      <c r="R620" s="26" t="str">
        <f t="shared" si="95"/>
        <v xml:space="preserve">3. &lt;br&gt;&lt;br&gt;What is the total cost for a microscopy test for &lt;b&gt;an adult&lt;/b&gt;? </v>
      </c>
      <c r="S620" s="26" t="s">
        <v>1833</v>
      </c>
      <c r="T620" s="26" t="s">
        <v>1519</v>
      </c>
      <c r="U620" s="26"/>
      <c r="V620" s="29"/>
      <c r="W620" s="29"/>
      <c r="X620" s="29"/>
      <c r="Y620" s="29"/>
      <c r="Z620" s="29"/>
    </row>
    <row r="621" spans="1:26" ht="63.75" hidden="1" outlineLevel="1" x14ac:dyDescent="0.2">
      <c r="A621" s="61"/>
      <c r="B621" s="78"/>
      <c r="C621" s="125" t="s">
        <v>76</v>
      </c>
      <c r="D621" s="26" t="s">
        <v>1834</v>
      </c>
      <c r="E621" s="67" t="s">
        <v>91</v>
      </c>
      <c r="F621" s="67" t="s">
        <v>1688</v>
      </c>
      <c r="G621" s="67">
        <f t="shared" si="96"/>
        <v>3</v>
      </c>
      <c r="H621" s="12" t="s">
        <v>1835</v>
      </c>
      <c r="I621" s="26"/>
      <c r="J621" s="26"/>
      <c r="K621" s="26"/>
      <c r="L621" s="26" t="s">
        <v>1836</v>
      </c>
      <c r="M621" s="26"/>
      <c r="N621" s="26"/>
      <c r="O621" s="26"/>
      <c r="P621" s="26"/>
      <c r="Q621" s="26"/>
      <c r="R621" s="26" t="str">
        <f t="shared" si="95"/>
        <v>&lt;font color="red"&gt;
&lt;b&gt;Interviewer: &lt;/b&gt;
&lt;i&gt;Confirm &lt;font color="blue"&gt;${d5}&lt;/font&gt; is the correct cost for a microscopy test for adults before proceeding&lt;/i&gt;
&lt;/font&gt;</v>
      </c>
      <c r="S621" s="26" t="s">
        <v>1837</v>
      </c>
      <c r="T621" s="26"/>
      <c r="U621" s="26"/>
      <c r="V621" s="29"/>
      <c r="W621" s="29"/>
      <c r="X621" s="29"/>
      <c r="Y621" s="29"/>
      <c r="Z621" s="29"/>
    </row>
    <row r="622" spans="1:26" ht="25.5" hidden="1" outlineLevel="1" x14ac:dyDescent="0.2">
      <c r="A622" s="61"/>
      <c r="B622" s="78"/>
      <c r="C622" s="125" t="s">
        <v>350</v>
      </c>
      <c r="D622" s="26" t="s">
        <v>1838</v>
      </c>
      <c r="E622" s="67" t="s">
        <v>83</v>
      </c>
      <c r="F622" s="67" t="s">
        <v>1688</v>
      </c>
      <c r="G622" s="67">
        <f t="shared" si="96"/>
        <v>4</v>
      </c>
      <c r="H622" s="12" t="s">
        <v>1839</v>
      </c>
      <c r="I622" s="26" t="s">
        <v>1516</v>
      </c>
      <c r="J622" s="26"/>
      <c r="K622" s="26" t="s">
        <v>1517</v>
      </c>
      <c r="L622" s="26" t="s">
        <v>1824</v>
      </c>
      <c r="M622" s="26"/>
      <c r="N622" s="26" t="s">
        <v>356</v>
      </c>
      <c r="O622" s="26"/>
      <c r="P622" s="26" t="s">
        <v>83</v>
      </c>
      <c r="Q622" s="26"/>
      <c r="R622" s="26" t="str">
        <f t="shared" si="95"/>
        <v>4. &lt;br&gt;&lt;br&gt;What is the total cost for a microscopy test for a &lt;b&gt;child under 5 years of age&lt;/b&gt;?</v>
      </c>
      <c r="S622" s="26" t="s">
        <v>1840</v>
      </c>
      <c r="T622" s="26" t="s">
        <v>1519</v>
      </c>
      <c r="U622" s="26"/>
      <c r="V622" s="29"/>
      <c r="W622" s="29"/>
      <c r="X622" s="29"/>
      <c r="Y622" s="29"/>
      <c r="Z622" s="29"/>
    </row>
    <row r="623" spans="1:26" ht="63.75" hidden="1" outlineLevel="1" x14ac:dyDescent="0.2">
      <c r="A623" s="136"/>
      <c r="B623" s="29"/>
      <c r="C623" s="125" t="s">
        <v>76</v>
      </c>
      <c r="D623" s="26" t="s">
        <v>1841</v>
      </c>
      <c r="E623" s="67" t="s">
        <v>91</v>
      </c>
      <c r="F623" s="67" t="s">
        <v>1688</v>
      </c>
      <c r="G623" s="67">
        <f t="shared" si="96"/>
        <v>4</v>
      </c>
      <c r="H623" s="12" t="s">
        <v>1842</v>
      </c>
      <c r="I623" s="26"/>
      <c r="J623" s="26"/>
      <c r="K623" s="26"/>
      <c r="L623" s="26" t="s">
        <v>1843</v>
      </c>
      <c r="M623" s="26"/>
      <c r="N623" s="26"/>
      <c r="O623" s="26"/>
      <c r="P623" s="26"/>
      <c r="Q623" s="26"/>
      <c r="R623" s="26" t="str">
        <f t="shared" si="95"/>
        <v>&lt;font color="red"&gt;
&lt;b&gt;Interviewer: &lt;/b&gt;
&lt;i&gt;Confirm &lt;font color="blue"&gt;${d6}&lt;/font&gt; is the correct cost for a microscopy test for children under 5 before proceeding&lt;/i&gt;
&lt;/font&gt;</v>
      </c>
      <c r="S623" s="26" t="s">
        <v>1844</v>
      </c>
      <c r="T623" s="26"/>
      <c r="U623" s="26"/>
      <c r="V623" s="29"/>
      <c r="W623" s="29"/>
      <c r="X623" s="29"/>
      <c r="Y623" s="29"/>
      <c r="Z623" s="29"/>
    </row>
    <row r="624" spans="1:26" ht="15.75" hidden="1" outlineLevel="1" x14ac:dyDescent="0.2">
      <c r="A624" s="8"/>
      <c r="B624" s="12"/>
      <c r="C624" s="19" t="s">
        <v>174</v>
      </c>
      <c r="D624" s="120" t="s">
        <v>1809</v>
      </c>
      <c r="E624" s="121" t="s">
        <v>91</v>
      </c>
      <c r="F624" s="121" t="s">
        <v>1688</v>
      </c>
      <c r="G624" s="121">
        <f t="shared" si="96"/>
        <v>4</v>
      </c>
      <c r="H624" s="120"/>
      <c r="I624" s="120"/>
      <c r="J624" s="120"/>
      <c r="K624" s="120"/>
      <c r="L624" s="120"/>
      <c r="M624" s="120"/>
      <c r="N624" s="120"/>
      <c r="O624" s="120"/>
      <c r="P624" s="120"/>
      <c r="Q624" s="120"/>
      <c r="R624" s="120"/>
      <c r="S624" s="120"/>
      <c r="T624" s="120"/>
      <c r="U624" s="120"/>
      <c r="V624" s="126"/>
      <c r="W624" s="126"/>
      <c r="X624" s="126"/>
      <c r="Y624" s="126"/>
      <c r="Z624" s="126"/>
    </row>
    <row r="625" spans="1:26" ht="140.25" hidden="1" x14ac:dyDescent="0.2">
      <c r="A625" s="9" t="s">
        <v>318</v>
      </c>
      <c r="B625" s="12"/>
      <c r="C625" s="123" t="s">
        <v>182</v>
      </c>
      <c r="D625" s="12" t="s">
        <v>1845</v>
      </c>
      <c r="E625" s="55"/>
      <c r="F625" s="55" t="s">
        <v>1688</v>
      </c>
      <c r="G625" s="55" t="s">
        <v>1846</v>
      </c>
      <c r="H625" s="12" t="s">
        <v>1847</v>
      </c>
      <c r="I625" s="12"/>
      <c r="J625" s="12"/>
      <c r="K625" s="12"/>
      <c r="L625" s="10" t="s">
        <v>1848</v>
      </c>
      <c r="M625" s="12"/>
      <c r="N625" s="12"/>
      <c r="O625" s="12"/>
      <c r="P625" s="12" t="s">
        <v>83</v>
      </c>
      <c r="Q625" s="12">
        <v>1</v>
      </c>
      <c r="R625" s="12" t="str">
        <f>IF(E625="no", H625, CONCATENATE(G625,". &lt;br&gt;",H625))</f>
        <v>End of blood testing audit. &lt;br&gt;&lt;font color="green"&gt;CHECKPOINT RDT AUDIT&lt;br&gt;&lt;br&gt;&lt;b&gt;INTERVIEWER&lt;/b&gt;&lt;br&gt;Are you able to continue the interview, that is, this interview &lt;b&gt;has not&lt;/b&gt; been interrupted?&lt;/font&gt;</v>
      </c>
      <c r="S625" s="12" t="s">
        <v>1849</v>
      </c>
      <c r="T625" s="12"/>
      <c r="U625" s="12"/>
      <c r="V625" s="12"/>
      <c r="W625" s="12"/>
      <c r="X625" s="12"/>
      <c r="Y625" s="12"/>
      <c r="Z625" s="12"/>
    </row>
    <row r="626" spans="1:26" ht="15.75" hidden="1" x14ac:dyDescent="0.2">
      <c r="A626" s="8"/>
      <c r="B626" s="12"/>
      <c r="C626" s="123"/>
      <c r="D626" s="12"/>
      <c r="E626" s="55"/>
      <c r="F626" s="55"/>
      <c r="G626" s="55"/>
      <c r="H626" s="12"/>
      <c r="I626" s="12"/>
      <c r="J626" s="12"/>
      <c r="K626" s="12"/>
      <c r="L626" s="120"/>
      <c r="M626" s="12"/>
      <c r="N626" s="12"/>
      <c r="O626" s="12"/>
      <c r="P626" s="12"/>
      <c r="Q626" s="12"/>
      <c r="R626" s="12"/>
      <c r="S626" s="12"/>
      <c r="T626" s="12"/>
      <c r="U626" s="12"/>
      <c r="V626" s="12"/>
      <c r="W626" s="12"/>
      <c r="X626" s="12"/>
      <c r="Y626" s="12"/>
      <c r="Z626" s="12"/>
    </row>
    <row r="627" spans="1:26" ht="15.75" hidden="1" x14ac:dyDescent="0.2">
      <c r="A627" s="8"/>
      <c r="B627" s="12"/>
      <c r="C627" s="123"/>
      <c r="D627" s="12"/>
      <c r="E627" s="55"/>
      <c r="F627" s="55"/>
      <c r="G627" s="55"/>
      <c r="H627" s="12"/>
      <c r="I627" s="12"/>
      <c r="J627" s="12"/>
      <c r="K627" s="12"/>
      <c r="L627" s="12"/>
      <c r="M627" s="12"/>
      <c r="N627" s="12"/>
      <c r="O627" s="12"/>
      <c r="P627" s="12"/>
      <c r="Q627" s="12"/>
      <c r="R627" s="12"/>
      <c r="S627" s="12"/>
      <c r="T627" s="12"/>
      <c r="U627" s="12"/>
      <c r="V627" s="12"/>
      <c r="W627" s="12"/>
      <c r="X627" s="12"/>
      <c r="Y627" s="12"/>
      <c r="Z627" s="12"/>
    </row>
    <row r="628" spans="1:26" ht="15.75" hidden="1" x14ac:dyDescent="0.2">
      <c r="A628" s="8"/>
      <c r="B628" s="12"/>
      <c r="C628" s="123"/>
      <c r="D628" s="12"/>
      <c r="E628" s="55"/>
      <c r="F628" s="55"/>
      <c r="G628" s="55"/>
      <c r="H628" s="12"/>
      <c r="I628" s="12"/>
      <c r="J628" s="12"/>
      <c r="K628" s="12"/>
      <c r="L628" s="12"/>
      <c r="M628" s="12"/>
      <c r="N628" s="12"/>
      <c r="O628" s="12"/>
      <c r="P628" s="12"/>
      <c r="Q628" s="12"/>
      <c r="R628" s="12"/>
      <c r="S628" s="12"/>
      <c r="T628" s="12"/>
      <c r="U628" s="12"/>
      <c r="V628" s="12"/>
      <c r="W628" s="12"/>
      <c r="X628" s="12"/>
      <c r="Y628" s="12"/>
      <c r="Z628" s="12"/>
    </row>
    <row r="629" spans="1:26" ht="15.75" hidden="1" x14ac:dyDescent="0.2">
      <c r="A629" s="8"/>
      <c r="B629" s="12"/>
      <c r="C629" s="123"/>
      <c r="D629" s="12"/>
      <c r="E629" s="55"/>
      <c r="F629" s="55"/>
      <c r="G629" s="55"/>
      <c r="H629" s="12"/>
      <c r="I629" s="12"/>
      <c r="J629" s="12"/>
      <c r="K629" s="12"/>
      <c r="L629" s="12"/>
      <c r="M629" s="12"/>
      <c r="N629" s="12"/>
      <c r="O629" s="12"/>
      <c r="P629" s="12"/>
      <c r="Q629" s="12"/>
      <c r="R629" s="11"/>
      <c r="S629" s="11"/>
      <c r="T629" s="11"/>
      <c r="U629" s="11"/>
      <c r="V629" s="12"/>
      <c r="W629" s="12"/>
      <c r="X629" s="12"/>
      <c r="Y629" s="12"/>
      <c r="Z629" s="12"/>
    </row>
    <row r="630" spans="1:26" ht="15.75" hidden="1" x14ac:dyDescent="0.2">
      <c r="A630" s="8"/>
      <c r="B630" s="12"/>
      <c r="C630" s="123"/>
      <c r="D630" s="12"/>
      <c r="E630" s="55"/>
      <c r="F630" s="55"/>
      <c r="G630" s="55"/>
      <c r="H630" s="12"/>
      <c r="I630" s="12"/>
      <c r="J630" s="12"/>
      <c r="K630" s="12"/>
      <c r="L630" s="12"/>
      <c r="M630" s="12"/>
      <c r="N630" s="12"/>
      <c r="O630" s="12"/>
      <c r="P630" s="12"/>
      <c r="Q630" s="12"/>
      <c r="R630" s="11"/>
      <c r="S630" s="11"/>
      <c r="T630" s="11"/>
      <c r="U630" s="11"/>
      <c r="V630" s="12"/>
      <c r="W630" s="12"/>
      <c r="X630" s="12"/>
      <c r="Y630" s="12"/>
      <c r="Z630" s="12"/>
    </row>
    <row r="631" spans="1:26" ht="63" hidden="1" x14ac:dyDescent="0.2">
      <c r="A631" s="115" t="s">
        <v>1850</v>
      </c>
      <c r="B631" s="140"/>
      <c r="C631" s="69"/>
      <c r="D631" s="141"/>
      <c r="E631" s="147"/>
      <c r="F631" s="147"/>
      <c r="G631" s="147"/>
      <c r="H631" s="141"/>
      <c r="I631" s="141"/>
      <c r="J631" s="141"/>
      <c r="K631" s="141"/>
      <c r="L631" s="141"/>
      <c r="M631" s="141"/>
      <c r="N631" s="141"/>
      <c r="O631" s="141"/>
      <c r="P631" s="141"/>
      <c r="Q631" s="141"/>
      <c r="R631" s="141"/>
      <c r="S631" s="141"/>
      <c r="T631" s="141"/>
      <c r="U631" s="141"/>
      <c r="V631" s="16"/>
      <c r="W631" s="16"/>
      <c r="X631" s="16"/>
      <c r="Y631" s="16"/>
      <c r="Z631" s="16"/>
    </row>
    <row r="632" spans="1:26" ht="15.75" hidden="1" outlineLevel="1" x14ac:dyDescent="0.2">
      <c r="A632" s="8"/>
      <c r="B632" s="12"/>
      <c r="C632" s="123"/>
      <c r="D632" s="12"/>
      <c r="E632" s="55"/>
      <c r="F632" s="55"/>
      <c r="G632" s="55"/>
      <c r="H632" s="12"/>
      <c r="I632" s="12"/>
      <c r="J632" s="12"/>
      <c r="K632" s="12"/>
      <c r="L632" s="12"/>
      <c r="M632" s="12"/>
      <c r="N632" s="12"/>
      <c r="O632" s="12"/>
      <c r="P632" s="12"/>
      <c r="Q632" s="12"/>
      <c r="R632" s="11"/>
      <c r="S632" s="11"/>
      <c r="T632" s="11"/>
      <c r="U632" s="11"/>
      <c r="V632" s="12"/>
      <c r="W632" s="12"/>
      <c r="X632" s="12"/>
      <c r="Y632" s="12"/>
      <c r="Z632" s="12"/>
    </row>
    <row r="633" spans="1:26" ht="63.75" outlineLevel="1" x14ac:dyDescent="0.2">
      <c r="A633" s="119" t="s">
        <v>25</v>
      </c>
      <c r="B633" s="116" t="s">
        <v>1851</v>
      </c>
      <c r="C633" s="19" t="s">
        <v>89</v>
      </c>
      <c r="D633" s="120" t="s">
        <v>1852</v>
      </c>
      <c r="E633" s="121" t="s">
        <v>91</v>
      </c>
      <c r="F633" s="121" t="s">
        <v>1853</v>
      </c>
      <c r="G633" s="121" t="s">
        <v>329</v>
      </c>
      <c r="H633" s="122" t="s">
        <v>25</v>
      </c>
      <c r="I633" s="120"/>
      <c r="J633" s="120"/>
      <c r="K633" s="120"/>
      <c r="L633" s="120" t="s">
        <v>1854</v>
      </c>
      <c r="M633" s="120"/>
      <c r="N633" s="120"/>
      <c r="O633" s="120"/>
      <c r="P633" s="120"/>
      <c r="Q633" s="120"/>
      <c r="R633" s="120" t="str">
        <f t="shared" ref="R633:R644" si="97">IF(E633="no", H633, CONCATENATE(G633,". &lt;br&gt;",H633))</f>
        <v>Supplier information</v>
      </c>
      <c r="S633" s="120" t="s">
        <v>1855</v>
      </c>
      <c r="T633" s="120"/>
      <c r="U633" s="120"/>
      <c r="V633" s="16"/>
      <c r="W633" s="16"/>
      <c r="X633" s="16"/>
      <c r="Y633" s="16"/>
      <c r="Z633" s="16"/>
    </row>
    <row r="634" spans="1:26" ht="63.75" hidden="1" outlineLevel="1" x14ac:dyDescent="0.2">
      <c r="A634" s="8"/>
      <c r="B634" s="78"/>
      <c r="C634" s="125" t="s">
        <v>182</v>
      </c>
      <c r="D634" s="26" t="s">
        <v>1856</v>
      </c>
      <c r="E634" s="67" t="s">
        <v>91</v>
      </c>
      <c r="F634" s="67" t="s">
        <v>1853</v>
      </c>
      <c r="G634" s="67" t="s">
        <v>329</v>
      </c>
      <c r="H634" s="12" t="s">
        <v>1857</v>
      </c>
      <c r="I634" s="26" t="s">
        <v>1858</v>
      </c>
      <c r="J634" s="26"/>
      <c r="K634" s="26"/>
      <c r="L634" s="26" t="s">
        <v>1859</v>
      </c>
      <c r="M634" s="26"/>
      <c r="N634" s="26"/>
      <c r="O634" s="26"/>
      <c r="P634" s="26" t="s">
        <v>83</v>
      </c>
      <c r="Q634" s="26"/>
      <c r="R634" s="26" t="str">
        <f t="shared" si="97"/>
        <v xml:space="preserve">Thinking again about your main suppliers for malaria commodities, are you able to share specific details about your main suppliers such as name and location?  
&lt;br&gt;&lt;br&gt; We will use this information to conduct additional surveys of businesses and outlets that supply malaria commodities. </v>
      </c>
      <c r="S634" s="26" t="s">
        <v>1860</v>
      </c>
      <c r="T634" s="26" t="s">
        <v>1861</v>
      </c>
      <c r="U634" s="26"/>
      <c r="V634" s="26"/>
      <c r="W634" s="26"/>
      <c r="X634" s="26"/>
      <c r="Y634" s="26"/>
      <c r="Z634" s="26"/>
    </row>
    <row r="635" spans="1:26" ht="127.5" hidden="1" outlineLevel="1" x14ac:dyDescent="0.2">
      <c r="A635" s="8"/>
      <c r="B635" s="78"/>
      <c r="C635" s="125" t="s">
        <v>76</v>
      </c>
      <c r="D635" s="26" t="s">
        <v>1862</v>
      </c>
      <c r="E635" s="67" t="s">
        <v>91</v>
      </c>
      <c r="F635" s="67" t="s">
        <v>1853</v>
      </c>
      <c r="G635" s="67" t="str">
        <f t="shared" ref="G635:G639" si="98">IF(E635="no", G634, IF(F635=F634, G634+1, 1))</f>
        <v>0</v>
      </c>
      <c r="H635" s="12" t="s">
        <v>1863</v>
      </c>
      <c r="I635" s="26"/>
      <c r="J635" s="26"/>
      <c r="K635" s="26"/>
      <c r="L635" s="26" t="s">
        <v>1864</v>
      </c>
      <c r="M635" s="26"/>
      <c r="N635" s="26"/>
      <c r="O635" s="26"/>
      <c r="P635" s="26"/>
      <c r="Q635" s="26"/>
      <c r="R635" s="26" t="str">
        <f t="shared" si="97"/>
        <v xml:space="preserve">&lt;font color=blue&gt;&lt;h4&gt;&lt;b&gt;Interviewer: &lt;/b&gt;&lt;/h4&gt;&lt;br&gt;
&lt;i&gt;&lt;h4&gt;Capture information on all suppliers of malaria commodities used in the &lt;b&gt;past 3 months.&lt;/b&gt;&lt;/h4&gt; 
&lt;br&gt;
&lt;b&gt;Instructions: 
&lt;br&gt;(1 )Proceed swiping forward and selecting 'Add Group'. 
&lt;br&gt;(2) Complete all questions and add new groups for each different supplier
&lt;br&gt;(3) If the provider does not know or does not wish to answer, select these choices or follow instructions in the 'hint' on each page.
</v>
      </c>
      <c r="S635" s="26" t="s">
        <v>1865</v>
      </c>
      <c r="T635" s="26"/>
      <c r="U635" s="26"/>
      <c r="V635" s="26"/>
      <c r="W635" s="26"/>
      <c r="X635" s="26"/>
      <c r="Y635" s="26"/>
      <c r="Z635" s="26"/>
    </row>
    <row r="636" spans="1:26" ht="15.75" hidden="1" outlineLevel="1" x14ac:dyDescent="0.2">
      <c r="A636" s="8"/>
      <c r="B636" s="78"/>
      <c r="C636" s="125" t="s">
        <v>1036</v>
      </c>
      <c r="D636" s="26" t="s">
        <v>1866</v>
      </c>
      <c r="E636" s="67" t="s">
        <v>91</v>
      </c>
      <c r="F636" s="67" t="s">
        <v>1853</v>
      </c>
      <c r="G636" s="67" t="str">
        <f t="shared" si="98"/>
        <v>0</v>
      </c>
      <c r="H636" s="36" t="s">
        <v>1867</v>
      </c>
      <c r="I636" s="26"/>
      <c r="J636" s="26"/>
      <c r="K636" s="26"/>
      <c r="L636" s="26" t="s">
        <v>1868</v>
      </c>
      <c r="M636" s="26"/>
      <c r="N636" s="26"/>
      <c r="O636" s="26"/>
      <c r="P636" s="26"/>
      <c r="Q636" s="26"/>
      <c r="R636" s="26" t="str">
        <f t="shared" si="97"/>
        <v>Supplier(s)</v>
      </c>
      <c r="S636" s="26" t="s">
        <v>1869</v>
      </c>
      <c r="T636" s="26"/>
      <c r="U636" s="26"/>
      <c r="V636" s="26"/>
      <c r="W636" s="26"/>
      <c r="X636" s="26"/>
      <c r="Y636" s="26"/>
      <c r="Z636" s="26"/>
    </row>
    <row r="637" spans="1:26" ht="15.75" hidden="1" outlineLevel="1" x14ac:dyDescent="0.2">
      <c r="A637" s="8"/>
      <c r="B637" s="35"/>
      <c r="C637" s="125" t="s">
        <v>144</v>
      </c>
      <c r="D637" s="26" t="s">
        <v>1870</v>
      </c>
      <c r="E637" s="67" t="s">
        <v>83</v>
      </c>
      <c r="F637" s="67" t="s">
        <v>1853</v>
      </c>
      <c r="G637" s="67">
        <f t="shared" si="98"/>
        <v>1</v>
      </c>
      <c r="H637" s="12" t="s">
        <v>1871</v>
      </c>
      <c r="I637" s="26"/>
      <c r="J637" s="26"/>
      <c r="K637" s="26"/>
      <c r="L637" s="26"/>
      <c r="M637" s="26"/>
      <c r="N637" s="26" t="s">
        <v>356</v>
      </c>
      <c r="O637" s="26"/>
      <c r="P637" s="26" t="s">
        <v>83</v>
      </c>
      <c r="Q637" s="26"/>
      <c r="R637" s="26" t="str">
        <f t="shared" si="97"/>
        <v>1. &lt;br&gt;&lt;br&gt; Supplier name:</v>
      </c>
      <c r="S637" s="26" t="s">
        <v>1872</v>
      </c>
      <c r="T637" s="26"/>
      <c r="U637" s="26"/>
      <c r="V637" s="26"/>
      <c r="W637" s="26"/>
      <c r="X637" s="26"/>
      <c r="Y637" s="26"/>
      <c r="Z637" s="26"/>
    </row>
    <row r="638" spans="1:26" ht="25.5" hidden="1" outlineLevel="1" x14ac:dyDescent="0.2">
      <c r="A638" s="8"/>
      <c r="B638" s="9" t="s">
        <v>1873</v>
      </c>
      <c r="C638" s="125" t="s">
        <v>1874</v>
      </c>
      <c r="D638" s="26" t="s">
        <v>1875</v>
      </c>
      <c r="E638" s="67" t="s">
        <v>83</v>
      </c>
      <c r="F638" s="67" t="s">
        <v>1853</v>
      </c>
      <c r="G638" s="67">
        <f t="shared" si="98"/>
        <v>2</v>
      </c>
      <c r="H638" s="12" t="s">
        <v>1876</v>
      </c>
      <c r="I638" s="26"/>
      <c r="J638" s="26"/>
      <c r="K638" s="26"/>
      <c r="L638" s="26"/>
      <c r="M638" s="26"/>
      <c r="N638" s="26"/>
      <c r="O638" s="26"/>
      <c r="P638" s="26" t="s">
        <v>83</v>
      </c>
      <c r="Q638" s="26"/>
      <c r="R638" s="26" t="str">
        <f t="shared" si="97"/>
        <v>2. &lt;br&gt;&lt;br&gt; Type of supplier?</v>
      </c>
      <c r="S638" s="26" t="s">
        <v>1877</v>
      </c>
      <c r="T638" s="26"/>
      <c r="U638" s="26"/>
      <c r="V638" s="26"/>
      <c r="W638" s="26"/>
      <c r="X638" s="26"/>
      <c r="Y638" s="26"/>
      <c r="Z638" s="26"/>
    </row>
    <row r="639" spans="1:26" ht="15.75" hidden="1" outlineLevel="1" x14ac:dyDescent="0.2">
      <c r="A639" s="8"/>
      <c r="B639" s="35"/>
      <c r="C639" s="125" t="s">
        <v>144</v>
      </c>
      <c r="D639" s="26" t="s">
        <v>1878</v>
      </c>
      <c r="E639" s="67" t="s">
        <v>83</v>
      </c>
      <c r="F639" s="67" t="s">
        <v>1853</v>
      </c>
      <c r="G639" s="67">
        <f t="shared" si="98"/>
        <v>3</v>
      </c>
      <c r="H639" s="12" t="s">
        <v>853</v>
      </c>
      <c r="I639" s="26"/>
      <c r="J639" s="26"/>
      <c r="K639" s="26"/>
      <c r="L639" s="26" t="s">
        <v>1879</v>
      </c>
      <c r="M639" s="26"/>
      <c r="N639" s="26" t="s">
        <v>356</v>
      </c>
      <c r="O639" s="26"/>
      <c r="P639" s="26" t="s">
        <v>83</v>
      </c>
      <c r="Q639" s="26"/>
      <c r="R639" s="26" t="str">
        <f t="shared" si="97"/>
        <v>3. &lt;br&gt;Other type of supplier?</v>
      </c>
      <c r="S639" s="26" t="s">
        <v>1880</v>
      </c>
      <c r="T639" s="26"/>
      <c r="U639" s="26"/>
      <c r="V639" s="26"/>
      <c r="W639" s="26"/>
      <c r="X639" s="26"/>
      <c r="Y639" s="26"/>
      <c r="Z639" s="26"/>
    </row>
    <row r="640" spans="1:26" ht="15.75" hidden="1" outlineLevel="1" x14ac:dyDescent="0.2">
      <c r="A640" s="8"/>
      <c r="B640" s="35"/>
      <c r="C640" s="125" t="s">
        <v>1881</v>
      </c>
      <c r="D640" s="26" t="s">
        <v>1882</v>
      </c>
      <c r="E640" s="67" t="s">
        <v>83</v>
      </c>
      <c r="F640" s="67" t="s">
        <v>1853</v>
      </c>
      <c r="G640" s="67"/>
      <c r="H640" s="12" t="s">
        <v>1883</v>
      </c>
      <c r="I640" s="26"/>
      <c r="J640" s="26"/>
      <c r="K640" s="26"/>
      <c r="L640" s="26"/>
      <c r="M640" s="26"/>
      <c r="N640" s="26"/>
      <c r="O640" s="26"/>
      <c r="P640" s="26" t="s">
        <v>83</v>
      </c>
      <c r="Q640" s="26"/>
      <c r="R640" s="26" t="str">
        <f t="shared" si="97"/>
        <v>. &lt;br&gt;&lt;br&gt;What type of malaria commodities do you purchase form this supplier?</v>
      </c>
      <c r="S640" s="26"/>
      <c r="T640" s="26"/>
      <c r="U640" s="26"/>
      <c r="V640" s="26"/>
      <c r="W640" s="26"/>
      <c r="X640" s="26"/>
      <c r="Y640" s="26"/>
      <c r="Z640" s="26"/>
    </row>
    <row r="641" spans="1:26" ht="25.5" hidden="1" outlineLevel="1" x14ac:dyDescent="0.2">
      <c r="A641" s="8"/>
      <c r="B641" s="9" t="s">
        <v>1884</v>
      </c>
      <c r="C641" s="125" t="s">
        <v>1885</v>
      </c>
      <c r="D641" s="26" t="s">
        <v>1886</v>
      </c>
      <c r="E641" s="67" t="s">
        <v>83</v>
      </c>
      <c r="F641" s="67" t="s">
        <v>1853</v>
      </c>
      <c r="G641" s="67">
        <f>IF(E641="no", G639, IF(F641=F639, G639+1, 1))</f>
        <v>4</v>
      </c>
      <c r="H641" s="12" t="s">
        <v>1887</v>
      </c>
      <c r="I641" s="26"/>
      <c r="J641" s="26"/>
      <c r="K641" s="26"/>
      <c r="L641" s="26"/>
      <c r="M641" s="26"/>
      <c r="N641" s="26"/>
      <c r="O641" s="26"/>
      <c r="P641" s="26" t="s">
        <v>83</v>
      </c>
      <c r="Q641" s="26"/>
      <c r="R641" s="26" t="str">
        <f t="shared" si="97"/>
        <v>4. &lt;br&gt;&lt;br&gt; What state is the supplier located in?</v>
      </c>
      <c r="S641" s="26" t="s">
        <v>1888</v>
      </c>
      <c r="T641" s="26"/>
      <c r="U641" s="26"/>
      <c r="V641" s="26"/>
      <c r="W641" s="26"/>
      <c r="X641" s="26"/>
      <c r="Y641" s="26"/>
      <c r="Z641" s="26"/>
    </row>
    <row r="642" spans="1:26" ht="15.75" hidden="1" outlineLevel="1" x14ac:dyDescent="0.2">
      <c r="A642" s="8"/>
      <c r="B642" s="35"/>
      <c r="C642" s="125" t="s">
        <v>144</v>
      </c>
      <c r="D642" s="26" t="s">
        <v>1889</v>
      </c>
      <c r="E642" s="67" t="s">
        <v>83</v>
      </c>
      <c r="F642" s="67" t="s">
        <v>1853</v>
      </c>
      <c r="G642" s="67">
        <f t="shared" ref="G642:G646" si="99">IF(E642="no", G641, IF(F642=F641, G641+1, 1))</f>
        <v>5</v>
      </c>
      <c r="H642" s="12" t="s">
        <v>1890</v>
      </c>
      <c r="I642" s="26"/>
      <c r="J642" s="26"/>
      <c r="K642" s="26"/>
      <c r="L642" s="26"/>
      <c r="M642" s="26"/>
      <c r="N642" s="26" t="s">
        <v>356</v>
      </c>
      <c r="O642" s="26"/>
      <c r="P642" s="26" t="s">
        <v>83</v>
      </c>
      <c r="Q642" s="26"/>
      <c r="R642" s="26" t="str">
        <f t="shared" si="97"/>
        <v>5. &lt;br&gt;&lt;br&gt; City / town of supplier.&lt;br&gt;</v>
      </c>
      <c r="S642" s="26" t="s">
        <v>1891</v>
      </c>
      <c r="T642" s="26"/>
      <c r="U642" s="26"/>
      <c r="V642" s="26"/>
      <c r="W642" s="26"/>
      <c r="X642" s="26"/>
      <c r="Y642" s="26"/>
      <c r="Z642" s="26"/>
    </row>
    <row r="643" spans="1:26" ht="15.75" hidden="1" outlineLevel="1" x14ac:dyDescent="0.2">
      <c r="A643" s="8"/>
      <c r="B643" s="35"/>
      <c r="C643" s="125" t="s">
        <v>144</v>
      </c>
      <c r="D643" s="26" t="s">
        <v>1892</v>
      </c>
      <c r="E643" s="67" t="s">
        <v>83</v>
      </c>
      <c r="F643" s="67" t="s">
        <v>1853</v>
      </c>
      <c r="G643" s="67">
        <f t="shared" si="99"/>
        <v>6</v>
      </c>
      <c r="H643" s="12" t="s">
        <v>1893</v>
      </c>
      <c r="I643" s="26" t="s">
        <v>1894</v>
      </c>
      <c r="J643" s="26"/>
      <c r="K643" s="26"/>
      <c r="L643" s="26"/>
      <c r="M643" s="26"/>
      <c r="N643" s="26" t="s">
        <v>356</v>
      </c>
      <c r="O643" s="26"/>
      <c r="P643" s="26" t="s">
        <v>83</v>
      </c>
      <c r="Q643" s="26"/>
      <c r="R643" s="26" t="str">
        <f t="shared" si="97"/>
        <v>6. &lt;br&gt;&lt;br&gt; Physical address or description of business location.&lt;br&gt;</v>
      </c>
      <c r="S643" s="26" t="s">
        <v>1895</v>
      </c>
      <c r="T643" s="26" t="s">
        <v>1896</v>
      </c>
      <c r="U643" s="26"/>
      <c r="V643" s="26"/>
      <c r="W643" s="26"/>
      <c r="X643" s="26"/>
      <c r="Y643" s="26"/>
      <c r="Z643" s="26"/>
    </row>
    <row r="644" spans="1:26" ht="15.75" hidden="1" outlineLevel="1" x14ac:dyDescent="0.2">
      <c r="A644" s="8"/>
      <c r="B644" s="26"/>
      <c r="C644" s="125" t="s">
        <v>144</v>
      </c>
      <c r="D644" s="26" t="s">
        <v>1897</v>
      </c>
      <c r="E644" s="67" t="s">
        <v>83</v>
      </c>
      <c r="F644" s="67" t="s">
        <v>1853</v>
      </c>
      <c r="G644" s="67">
        <f t="shared" si="99"/>
        <v>7</v>
      </c>
      <c r="H644" s="12" t="s">
        <v>1898</v>
      </c>
      <c r="I644" s="26" t="s">
        <v>1899</v>
      </c>
      <c r="J644" s="26"/>
      <c r="K644" s="26"/>
      <c r="L644" s="26"/>
      <c r="M644" s="26"/>
      <c r="N644" s="26" t="s">
        <v>356</v>
      </c>
      <c r="O644" s="26"/>
      <c r="P644" s="26" t="s">
        <v>83</v>
      </c>
      <c r="Q644" s="26"/>
      <c r="R644" s="26" t="str">
        <f t="shared" si="97"/>
        <v>7. &lt;br&gt;Contact information (if available)</v>
      </c>
      <c r="S644" s="26" t="s">
        <v>1900</v>
      </c>
      <c r="T644" s="26" t="s">
        <v>1901</v>
      </c>
      <c r="U644" s="26"/>
      <c r="V644" s="26"/>
      <c r="W644" s="26"/>
      <c r="X644" s="26"/>
      <c r="Y644" s="26"/>
      <c r="Z644" s="26"/>
    </row>
    <row r="645" spans="1:26" ht="15.75" hidden="1" outlineLevel="1" x14ac:dyDescent="0.2">
      <c r="A645" s="8"/>
      <c r="B645" s="26"/>
      <c r="C645" s="125" t="s">
        <v>1571</v>
      </c>
      <c r="D645" s="26" t="s">
        <v>1902</v>
      </c>
      <c r="E645" s="67" t="s">
        <v>91</v>
      </c>
      <c r="F645" s="67" t="s">
        <v>1853</v>
      </c>
      <c r="G645" s="67">
        <f t="shared" si="99"/>
        <v>7</v>
      </c>
      <c r="H645" s="12"/>
      <c r="I645" s="26"/>
      <c r="J645" s="26"/>
      <c r="K645" s="26"/>
      <c r="L645" s="26"/>
      <c r="M645" s="26"/>
      <c r="N645" s="26"/>
      <c r="O645" s="26"/>
      <c r="P645" s="26"/>
      <c r="Q645" s="26"/>
      <c r="R645" s="26"/>
      <c r="S645" s="26"/>
      <c r="T645" s="26"/>
      <c r="U645" s="26"/>
      <c r="V645" s="26"/>
      <c r="W645" s="26"/>
      <c r="X645" s="26"/>
      <c r="Y645" s="26"/>
      <c r="Z645" s="26"/>
    </row>
    <row r="646" spans="1:26" ht="25.5" hidden="1" outlineLevel="1" x14ac:dyDescent="0.2">
      <c r="A646" s="8"/>
      <c r="B646" s="26"/>
      <c r="C646" s="125" t="s">
        <v>76</v>
      </c>
      <c r="D646" s="26" t="s">
        <v>1903</v>
      </c>
      <c r="E646" s="67" t="s">
        <v>91</v>
      </c>
      <c r="F646" s="67" t="s">
        <v>1853</v>
      </c>
      <c r="G646" s="67">
        <f t="shared" si="99"/>
        <v>7</v>
      </c>
      <c r="H646" s="12" t="s">
        <v>1904</v>
      </c>
      <c r="I646" s="26"/>
      <c r="J646" s="26"/>
      <c r="K646" s="26"/>
      <c r="L646" s="26" t="s">
        <v>1864</v>
      </c>
      <c r="M646" s="26"/>
      <c r="N646" s="26"/>
      <c r="O646" s="26"/>
      <c r="P646" s="26"/>
      <c r="Q646" s="26"/>
      <c r="R646" s="26" t="str">
        <f>IF(E646="no", H646, CONCATENATE(G646,". &lt;br&gt;",H646))</f>
        <v xml:space="preserve">&lt;b&gt;Interviewer: &lt;/b&gt;
&lt;br&gt;Thank the respondent for their antimalarial supplier information and proceed. </v>
      </c>
      <c r="S646" s="26" t="s">
        <v>1905</v>
      </c>
      <c r="T646" s="26"/>
      <c r="U646" s="26"/>
      <c r="V646" s="26"/>
      <c r="W646" s="26"/>
      <c r="X646" s="26"/>
      <c r="Y646" s="26"/>
      <c r="Z646" s="26"/>
    </row>
    <row r="647" spans="1:26" ht="15.75" hidden="1" outlineLevel="1" x14ac:dyDescent="0.2">
      <c r="A647" s="8"/>
      <c r="B647" s="26"/>
      <c r="C647" s="79" t="s">
        <v>174</v>
      </c>
      <c r="D647" s="120" t="s">
        <v>1852</v>
      </c>
      <c r="E647" s="149"/>
      <c r="F647" s="149" t="s">
        <v>1853</v>
      </c>
      <c r="G647" s="149"/>
      <c r="H647" s="150"/>
      <c r="I647" s="151"/>
      <c r="J647" s="151"/>
      <c r="K647" s="151"/>
      <c r="L647" s="151"/>
      <c r="M647" s="151"/>
      <c r="N647" s="151"/>
      <c r="O647" s="151"/>
      <c r="P647" s="151"/>
      <c r="Q647" s="151"/>
      <c r="R647" s="151"/>
      <c r="S647" s="151"/>
      <c r="T647" s="151"/>
      <c r="U647" s="151"/>
      <c r="V647" s="151"/>
      <c r="W647" s="151"/>
      <c r="X647" s="151"/>
      <c r="Y647" s="151"/>
      <c r="Z647" s="151"/>
    </row>
    <row r="648" spans="1:26" ht="178.5" hidden="1" x14ac:dyDescent="0.2">
      <c r="A648" s="9" t="s">
        <v>318</v>
      </c>
      <c r="B648" s="12"/>
      <c r="C648" s="123" t="s">
        <v>182</v>
      </c>
      <c r="D648" s="12" t="s">
        <v>1906</v>
      </c>
      <c r="E648" s="55"/>
      <c r="F648" s="55" t="s">
        <v>1853</v>
      </c>
      <c r="G648" s="55" t="s">
        <v>1907</v>
      </c>
      <c r="H648" s="12" t="s">
        <v>1908</v>
      </c>
      <c r="I648" s="12"/>
      <c r="J648" s="12"/>
      <c r="K648" s="12"/>
      <c r="L648" s="10" t="s">
        <v>1909</v>
      </c>
      <c r="M648" s="12"/>
      <c r="N648" s="12"/>
      <c r="O648" s="12"/>
      <c r="P648" s="12" t="s">
        <v>83</v>
      </c>
      <c r="Q648" s="12">
        <v>1</v>
      </c>
      <c r="R648" s="12" t="str">
        <f>IF(E648="no", H648, CONCATENATE(G648,". &lt;br&gt;",H648))</f>
        <v>End of Supplier Details Module. &lt;br&gt;&lt;font color="green"&gt;CHECKPOINT SUPPLIER DETAILS&lt;br&gt;&lt;br&gt;&lt;b&gt;INTERVIEWER&lt;/b&gt;&lt;br&gt;Are you able to continue the interview, that is, this interview &lt;b&gt;has not&lt;/b&gt; been interrupted?&lt;/font&gt;</v>
      </c>
      <c r="S648" s="12" t="s">
        <v>1910</v>
      </c>
      <c r="T648" s="12"/>
      <c r="U648" s="12"/>
      <c r="V648" s="12"/>
      <c r="W648" s="12"/>
      <c r="X648" s="12"/>
      <c r="Y648" s="12"/>
      <c r="Z648" s="12"/>
    </row>
    <row r="649" spans="1:26" ht="15.75" hidden="1" x14ac:dyDescent="0.2">
      <c r="A649" s="28"/>
      <c r="B649" s="38"/>
      <c r="C649" s="142"/>
      <c r="D649" s="38"/>
      <c r="E649" s="73"/>
      <c r="F649" s="73"/>
      <c r="G649" s="73"/>
      <c r="H649" s="38"/>
      <c r="I649" s="38"/>
      <c r="J649" s="38"/>
      <c r="K649" s="38"/>
      <c r="L649" s="38"/>
      <c r="M649" s="38"/>
      <c r="N649" s="38"/>
      <c r="O649" s="38"/>
      <c r="P649" s="38"/>
      <c r="Q649" s="38"/>
      <c r="R649" s="38"/>
      <c r="S649" s="38"/>
      <c r="T649" s="38"/>
      <c r="U649" s="38"/>
      <c r="V649" s="38"/>
      <c r="W649" s="38"/>
      <c r="X649" s="38"/>
      <c r="Y649" s="38"/>
      <c r="Z649" s="38"/>
    </row>
    <row r="650" spans="1:26" ht="15.75" hidden="1" x14ac:dyDescent="0.2">
      <c r="A650" s="28"/>
      <c r="B650" s="38"/>
      <c r="C650" s="142"/>
      <c r="D650" s="38"/>
      <c r="E650" s="73"/>
      <c r="F650" s="73"/>
      <c r="G650" s="73"/>
      <c r="H650" s="38"/>
      <c r="I650" s="38"/>
      <c r="J650" s="38"/>
      <c r="K650" s="38"/>
      <c r="L650" s="38"/>
      <c r="M650" s="38"/>
      <c r="N650" s="38"/>
      <c r="O650" s="38"/>
      <c r="P650" s="38"/>
      <c r="Q650" s="38"/>
      <c r="R650" s="38"/>
      <c r="S650" s="38"/>
      <c r="T650" s="38"/>
      <c r="U650" s="38"/>
      <c r="V650" s="38"/>
      <c r="W650" s="38"/>
      <c r="X650" s="38"/>
      <c r="Y650" s="38"/>
      <c r="Z650" s="38"/>
    </row>
    <row r="651" spans="1:26" ht="15.75" hidden="1" x14ac:dyDescent="0.2">
      <c r="A651" s="28"/>
      <c r="B651" s="38"/>
      <c r="C651" s="142"/>
      <c r="D651" s="38"/>
      <c r="E651" s="73"/>
      <c r="F651" s="73"/>
      <c r="G651" s="73"/>
      <c r="H651" s="38"/>
      <c r="I651" s="38"/>
      <c r="J651" s="38"/>
      <c r="K651" s="38"/>
      <c r="L651" s="38"/>
      <c r="M651" s="38"/>
      <c r="N651" s="38"/>
      <c r="O651" s="38"/>
      <c r="P651" s="38"/>
      <c r="Q651" s="38"/>
      <c r="R651" s="38"/>
      <c r="S651" s="38"/>
      <c r="T651" s="38"/>
      <c r="U651" s="38"/>
      <c r="V651" s="38"/>
      <c r="W651" s="38"/>
      <c r="X651" s="38"/>
      <c r="Y651" s="38"/>
      <c r="Z651" s="38"/>
    </row>
    <row r="652" spans="1:26" ht="15.75" hidden="1" x14ac:dyDescent="0.2">
      <c r="A652" s="28"/>
      <c r="B652" s="38"/>
      <c r="C652" s="142"/>
      <c r="D652" s="38"/>
      <c r="E652" s="73"/>
      <c r="F652" s="73"/>
      <c r="G652" s="73"/>
      <c r="H652" s="38"/>
      <c r="I652" s="38"/>
      <c r="J652" s="38"/>
      <c r="K652" s="38"/>
      <c r="L652" s="38"/>
      <c r="M652" s="38"/>
      <c r="N652" s="38"/>
      <c r="O652" s="38"/>
      <c r="P652" s="38"/>
      <c r="Q652" s="38"/>
      <c r="R652" s="38"/>
      <c r="S652" s="38"/>
      <c r="T652" s="38"/>
      <c r="U652" s="38"/>
      <c r="V652" s="38"/>
      <c r="W652" s="38"/>
      <c r="X652" s="38"/>
      <c r="Y652" s="38"/>
      <c r="Z652" s="38"/>
    </row>
    <row r="653" spans="1:26" ht="15.75" hidden="1" x14ac:dyDescent="0.2">
      <c r="A653" s="8"/>
      <c r="B653" s="12"/>
      <c r="C653" s="123"/>
      <c r="D653" s="12"/>
      <c r="E653" s="55"/>
      <c r="F653" s="55"/>
      <c r="G653" s="55"/>
      <c r="H653" s="12"/>
      <c r="I653" s="12"/>
      <c r="J653" s="12"/>
      <c r="K653" s="12"/>
      <c r="L653" s="12"/>
      <c r="M653" s="12"/>
      <c r="N653" s="12"/>
      <c r="O653" s="12"/>
      <c r="P653" s="12"/>
      <c r="Q653" s="12"/>
      <c r="R653" s="11"/>
      <c r="S653" s="11"/>
      <c r="T653" s="11"/>
      <c r="U653" s="11"/>
      <c r="V653" s="12"/>
      <c r="W653" s="12"/>
      <c r="X653" s="12"/>
      <c r="Y653" s="12"/>
      <c r="Z653" s="12"/>
    </row>
    <row r="654" spans="1:26" ht="47.25" hidden="1" x14ac:dyDescent="0.2">
      <c r="A654" s="115" t="s">
        <v>1911</v>
      </c>
      <c r="B654" s="116" t="s">
        <v>1912</v>
      </c>
      <c r="C654" s="69"/>
      <c r="D654" s="141"/>
      <c r="E654" s="147"/>
      <c r="F654" s="147"/>
      <c r="G654" s="147"/>
      <c r="H654" s="141"/>
      <c r="I654" s="141"/>
      <c r="J654" s="141"/>
      <c r="K654" s="141"/>
      <c r="L654" s="141"/>
      <c r="M654" s="141"/>
      <c r="N654" s="141"/>
      <c r="O654" s="141"/>
      <c r="P654" s="141"/>
      <c r="Q654" s="141"/>
      <c r="R654" s="141"/>
      <c r="S654" s="141"/>
      <c r="T654" s="141"/>
      <c r="U654" s="141"/>
      <c r="V654" s="16"/>
      <c r="W654" s="16"/>
      <c r="X654" s="16"/>
      <c r="Y654" s="16"/>
      <c r="Z654" s="16"/>
    </row>
    <row r="655" spans="1:26" ht="15.75" hidden="1" outlineLevel="1" x14ac:dyDescent="0.2">
      <c r="A655" s="28"/>
      <c r="B655" s="38"/>
      <c r="C655" s="152"/>
      <c r="D655" s="38"/>
      <c r="E655" s="73"/>
      <c r="F655" s="73"/>
      <c r="G655" s="73"/>
      <c r="H655" s="38"/>
      <c r="I655" s="38"/>
      <c r="J655" s="38"/>
      <c r="K655" s="38"/>
      <c r="L655" s="38"/>
      <c r="M655" s="38"/>
      <c r="N655" s="38"/>
      <c r="O655" s="38"/>
      <c r="P655" s="38"/>
      <c r="Q655" s="38"/>
      <c r="R655" s="38"/>
      <c r="S655" s="38"/>
      <c r="T655" s="38"/>
      <c r="U655" s="38"/>
      <c r="V655" s="38"/>
      <c r="W655" s="38"/>
      <c r="X655" s="38"/>
      <c r="Y655" s="38"/>
      <c r="Z655" s="38"/>
    </row>
    <row r="656" spans="1:26" ht="15.75" hidden="1" outlineLevel="1" x14ac:dyDescent="0.2">
      <c r="A656" s="8"/>
      <c r="B656" s="9" t="s">
        <v>1913</v>
      </c>
      <c r="C656" s="114" t="s">
        <v>174</v>
      </c>
      <c r="D656" s="10" t="s">
        <v>320</v>
      </c>
      <c r="E656" s="15"/>
      <c r="F656" s="15"/>
      <c r="G656" s="15"/>
      <c r="H656" s="10"/>
      <c r="I656" s="10"/>
      <c r="J656" s="10"/>
      <c r="K656" s="10"/>
      <c r="L656" s="10"/>
      <c r="M656" s="10"/>
      <c r="N656" s="10"/>
      <c r="O656" s="10"/>
      <c r="P656" s="10"/>
      <c r="Q656" s="10"/>
      <c r="R656" s="11"/>
      <c r="S656" s="11"/>
      <c r="T656" s="11"/>
      <c r="U656" s="11"/>
      <c r="V656" s="12"/>
      <c r="W656" s="12"/>
      <c r="X656" s="12"/>
      <c r="Y656" s="12"/>
      <c r="Z656" s="12"/>
    </row>
    <row r="657" spans="1:26" ht="15.75" hidden="1" outlineLevel="1" x14ac:dyDescent="0.2">
      <c r="A657" s="8"/>
      <c r="B657" s="12"/>
      <c r="C657" s="123"/>
      <c r="D657" s="12"/>
      <c r="E657" s="55"/>
      <c r="F657" s="55"/>
      <c r="G657" s="55"/>
      <c r="H657" s="12"/>
      <c r="I657" s="12"/>
      <c r="J657" s="12"/>
      <c r="K657" s="12"/>
      <c r="L657" s="12"/>
      <c r="M657" s="12"/>
      <c r="N657" s="12"/>
      <c r="O657" s="12"/>
      <c r="P657" s="12"/>
      <c r="Q657" s="12"/>
      <c r="R657" s="11"/>
      <c r="S657" s="11"/>
      <c r="T657" s="11"/>
      <c r="U657" s="11"/>
      <c r="V657" s="12"/>
      <c r="W657" s="12"/>
      <c r="X657" s="12"/>
      <c r="Y657" s="12"/>
      <c r="Z657" s="12"/>
    </row>
    <row r="658" spans="1:26" ht="15.75" outlineLevel="1" x14ac:dyDescent="0.2">
      <c r="A658" s="119" t="s">
        <v>37</v>
      </c>
      <c r="B658" s="153"/>
      <c r="C658" s="74" t="s">
        <v>89</v>
      </c>
      <c r="D658" s="146" t="s">
        <v>1914</v>
      </c>
      <c r="E658" s="145" t="s">
        <v>91</v>
      </c>
      <c r="F658" s="145" t="s">
        <v>1915</v>
      </c>
      <c r="G658" s="145" t="s">
        <v>329</v>
      </c>
      <c r="H658" s="122" t="s">
        <v>1916</v>
      </c>
      <c r="I658" s="146"/>
      <c r="J658" s="146"/>
      <c r="K658" s="146"/>
      <c r="L658" s="146"/>
      <c r="M658" s="146"/>
      <c r="N658" s="146"/>
      <c r="O658" s="146"/>
      <c r="P658" s="146"/>
      <c r="Q658" s="146"/>
      <c r="R658" s="146" t="str">
        <f t="shared" ref="R658:R665" si="100">IF(E658="no", H658, CONCATENATE(G658,". &lt;br&gt;",H658))</f>
        <v>Section X: End of interview</v>
      </c>
      <c r="S658" s="146" t="s">
        <v>1917</v>
      </c>
      <c r="T658" s="146"/>
      <c r="U658" s="146"/>
      <c r="V658" s="80"/>
      <c r="W658" s="80"/>
      <c r="X658" s="80"/>
      <c r="Y658" s="80"/>
      <c r="Z658" s="80"/>
    </row>
    <row r="659" spans="1:26" ht="25.5" hidden="1" outlineLevel="1" x14ac:dyDescent="0.2">
      <c r="A659" s="8"/>
      <c r="B659" s="26"/>
      <c r="C659" s="124" t="s">
        <v>1918</v>
      </c>
      <c r="D659" s="23" t="s">
        <v>1919</v>
      </c>
      <c r="E659" s="24" t="s">
        <v>91</v>
      </c>
      <c r="F659" s="24" t="s">
        <v>1915</v>
      </c>
      <c r="G659" s="24" t="str">
        <f t="shared" ref="G659:G665" si="101">IF(E659="no", G658, IF(F659=F658, G658+1, 1))</f>
        <v>0</v>
      </c>
      <c r="H659" s="10" t="s">
        <v>1920</v>
      </c>
      <c r="I659" s="23"/>
      <c r="J659" s="23"/>
      <c r="K659" s="23"/>
      <c r="L659" s="23" t="s">
        <v>1921</v>
      </c>
      <c r="M659" s="23"/>
      <c r="N659" s="23"/>
      <c r="O659" s="23"/>
      <c r="P659" s="26" t="s">
        <v>83</v>
      </c>
      <c r="Q659" s="23"/>
      <c r="R659" s="25" t="str">
        <f t="shared" si="100"/>
        <v xml:space="preserve">&lt;b&gt;Interviewer: &lt;/b&gt;: &lt;br&gt;
Record the result of the interview here: </v>
      </c>
      <c r="S659" s="25" t="s">
        <v>1922</v>
      </c>
      <c r="T659" s="25"/>
      <c r="U659" s="25"/>
      <c r="V659" s="26"/>
      <c r="W659" s="26"/>
      <c r="X659" s="26"/>
      <c r="Y659" s="26"/>
      <c r="Z659" s="26"/>
    </row>
    <row r="660" spans="1:26" ht="15.75" hidden="1" outlineLevel="1" x14ac:dyDescent="0.2">
      <c r="A660" s="28"/>
      <c r="B660" s="26"/>
      <c r="C660" s="124" t="s">
        <v>144</v>
      </c>
      <c r="D660" s="23" t="s">
        <v>1923</v>
      </c>
      <c r="E660" s="81" t="s">
        <v>91</v>
      </c>
      <c r="F660" s="81" t="s">
        <v>1915</v>
      </c>
      <c r="G660" s="81" t="str">
        <f t="shared" si="101"/>
        <v>0</v>
      </c>
      <c r="H660" s="10" t="s">
        <v>1924</v>
      </c>
      <c r="I660" s="23"/>
      <c r="J660" s="23"/>
      <c r="K660" s="23"/>
      <c r="L660" s="23" t="s">
        <v>1925</v>
      </c>
      <c r="M660" s="23"/>
      <c r="N660" s="23"/>
      <c r="O660" s="23"/>
      <c r="P660" s="26" t="s">
        <v>83</v>
      </c>
      <c r="Q660" s="23"/>
      <c r="R660" s="25" t="str">
        <f t="shared" si="100"/>
        <v>Specify other survey result:</v>
      </c>
      <c r="S660" s="25" t="s">
        <v>1926</v>
      </c>
      <c r="T660" s="25"/>
      <c r="U660" s="25"/>
      <c r="V660" s="26"/>
      <c r="W660" s="26"/>
      <c r="X660" s="26"/>
      <c r="Y660" s="26"/>
      <c r="Z660" s="26"/>
    </row>
    <row r="661" spans="1:26" ht="102" hidden="1" outlineLevel="1" x14ac:dyDescent="0.2">
      <c r="A661" s="8"/>
      <c r="B661" s="26"/>
      <c r="C661" s="124" t="s">
        <v>76</v>
      </c>
      <c r="D661" s="23" t="s">
        <v>1927</v>
      </c>
      <c r="E661" s="24" t="s">
        <v>91</v>
      </c>
      <c r="F661" s="24" t="s">
        <v>1915</v>
      </c>
      <c r="G661" s="24" t="str">
        <f t="shared" si="101"/>
        <v>0</v>
      </c>
      <c r="H661" s="10" t="s">
        <v>1928</v>
      </c>
      <c r="I661" s="23"/>
      <c r="J661" s="23"/>
      <c r="K661" s="23"/>
      <c r="L661" s="23" t="s">
        <v>1929</v>
      </c>
      <c r="M661" s="23"/>
      <c r="N661" s="23"/>
      <c r="O661" s="23"/>
      <c r="P661" s="23"/>
      <c r="Q661" s="23"/>
      <c r="R661" s="25" t="str">
        <f t="shared" si="100"/>
        <v xml:space="preserve">&lt;font color="blue"&gt;&lt;b&gt;Interviewer:&lt;/b&gt;
&lt;br&gt;&lt;i&gt;The interview is now complete. 
&lt;br&gt;
&lt;br&gt;Thank the respondent for their time
&lt;br&gt;
&lt;br&gt; Save this form
&lt;br&gt;
&lt;br&gt;Proceed to the next outlet. </v>
      </c>
      <c r="S661" s="25" t="s">
        <v>1930</v>
      </c>
      <c r="T661" s="25"/>
      <c r="U661" s="25"/>
      <c r="V661" s="26"/>
      <c r="W661" s="26"/>
      <c r="X661" s="26"/>
      <c r="Y661" s="26"/>
      <c r="Z661" s="26"/>
    </row>
    <row r="662" spans="1:26" ht="114.75" hidden="1" outlineLevel="1" x14ac:dyDescent="0.2">
      <c r="A662" s="8"/>
      <c r="B662" s="26"/>
      <c r="C662" s="124" t="s">
        <v>76</v>
      </c>
      <c r="D662" s="23" t="s">
        <v>1931</v>
      </c>
      <c r="E662" s="24" t="s">
        <v>91</v>
      </c>
      <c r="F662" s="24" t="s">
        <v>1915</v>
      </c>
      <c r="G662" s="24" t="str">
        <f t="shared" si="101"/>
        <v>0</v>
      </c>
      <c r="H662" s="10" t="s">
        <v>1932</v>
      </c>
      <c r="I662" s="23"/>
      <c r="J662" s="23"/>
      <c r="K662" s="23"/>
      <c r="L662" s="23" t="s">
        <v>1933</v>
      </c>
      <c r="M662" s="23"/>
      <c r="N662" s="23"/>
      <c r="O662" s="23"/>
      <c r="P662" s="23"/>
      <c r="Q662" s="23"/>
      <c r="R662" s="25" t="str">
        <f t="shared" si="100"/>
        <v>&lt;font color="blue"&gt;&lt;b&gt;Interviewer:&lt;/b&gt;
&lt;br&gt;
&lt;br&gt;Save this form. 
&lt;br&gt;
&lt;i&gt;&lt;br&gt; If the provider is willing to complete the interview at another time, arrange time (ideally later today) to return. 
&lt;br&gt;Come back to this form to complete the survey at that time.&lt;/i&gt;
&lt;br&gt;
&lt;br&gt;If the provider is not willing or able to continue, proceed to the next outlet.</v>
      </c>
      <c r="S662" s="25" t="s">
        <v>1934</v>
      </c>
      <c r="T662" s="25"/>
      <c r="U662" s="25"/>
      <c r="V662" s="26"/>
      <c r="W662" s="26"/>
      <c r="X662" s="26"/>
      <c r="Y662" s="26"/>
      <c r="Z662" s="26"/>
    </row>
    <row r="663" spans="1:26" ht="114.75" hidden="1" outlineLevel="1" x14ac:dyDescent="0.2">
      <c r="A663" s="8"/>
      <c r="B663" s="26"/>
      <c r="C663" s="124" t="s">
        <v>76</v>
      </c>
      <c r="D663" s="23" t="s">
        <v>1935</v>
      </c>
      <c r="E663" s="24" t="s">
        <v>91</v>
      </c>
      <c r="F663" s="24" t="s">
        <v>1915</v>
      </c>
      <c r="G663" s="24" t="str">
        <f t="shared" si="101"/>
        <v>0</v>
      </c>
      <c r="H663" s="10" t="s">
        <v>1932</v>
      </c>
      <c r="I663" s="23"/>
      <c r="J663" s="23"/>
      <c r="K663" s="23"/>
      <c r="L663" s="23" t="s">
        <v>1936</v>
      </c>
      <c r="M663" s="23"/>
      <c r="N663" s="23"/>
      <c r="O663" s="23"/>
      <c r="P663" s="23"/>
      <c r="Q663" s="23"/>
      <c r="R663" s="25" t="str">
        <f t="shared" si="100"/>
        <v>&lt;font color="blue"&gt;&lt;b&gt;Interviewer:&lt;/b&gt;
&lt;br&gt;
&lt;br&gt;Save this form. 
&lt;br&gt;
&lt;i&gt;&lt;br&gt; If the provider is willing to complete the interview at another time, arrange time (ideally later today) to return. 
&lt;br&gt;Come back to this form to complete the survey at that time.&lt;/i&gt;
&lt;br&gt;
&lt;br&gt;If the provider is not willing or able to continue, proceed to the next outlet.</v>
      </c>
      <c r="S663" s="25" t="s">
        <v>1934</v>
      </c>
      <c r="T663" s="25"/>
      <c r="U663" s="25"/>
      <c r="V663" s="26"/>
      <c r="W663" s="26"/>
      <c r="X663" s="26"/>
      <c r="Y663" s="26"/>
      <c r="Z663" s="26"/>
    </row>
    <row r="664" spans="1:26" ht="76.5" hidden="1" outlineLevel="1" x14ac:dyDescent="0.2">
      <c r="A664" s="8"/>
      <c r="B664" s="26"/>
      <c r="C664" s="124" t="s">
        <v>76</v>
      </c>
      <c r="D664" s="23" t="s">
        <v>1937</v>
      </c>
      <c r="E664" s="24" t="s">
        <v>91</v>
      </c>
      <c r="F664" s="24" t="s">
        <v>1915</v>
      </c>
      <c r="G664" s="24" t="str">
        <f t="shared" si="101"/>
        <v>0</v>
      </c>
      <c r="H664" s="10" t="s">
        <v>1938</v>
      </c>
      <c r="I664" s="23"/>
      <c r="J664" s="23"/>
      <c r="K664" s="23"/>
      <c r="L664" s="23" t="s">
        <v>1939</v>
      </c>
      <c r="M664" s="23"/>
      <c r="N664" s="23"/>
      <c r="O664" s="23"/>
      <c r="P664" s="23"/>
      <c r="Q664" s="23"/>
      <c r="R664" s="25" t="str">
        <f t="shared" si="100"/>
        <v xml:space="preserve">&lt;font color="blue"&gt;&lt;b&gt;Interviewer:&lt;/b&gt;
&lt;br&gt;&lt;i&gt; The interview could not be completed at this outlet. 
&lt;br&gt;
&lt;br&gt;Save this form. 
&lt;br&gt;
&lt;br&gt;Proceed to the next outlet. </v>
      </c>
      <c r="S664" s="25" t="s">
        <v>1940</v>
      </c>
      <c r="T664" s="25"/>
      <c r="U664" s="25"/>
      <c r="V664" s="26"/>
      <c r="W664" s="26"/>
      <c r="X664" s="26"/>
      <c r="Y664" s="26"/>
      <c r="Z664" s="26"/>
    </row>
    <row r="665" spans="1:26" ht="25.5" hidden="1" outlineLevel="1" x14ac:dyDescent="0.2">
      <c r="A665" s="8"/>
      <c r="B665" s="23"/>
      <c r="C665" s="124" t="s">
        <v>144</v>
      </c>
      <c r="D665" s="23" t="s">
        <v>1941</v>
      </c>
      <c r="E665" s="24" t="s">
        <v>91</v>
      </c>
      <c r="F665" s="24" t="s">
        <v>1915</v>
      </c>
      <c r="G665" s="24" t="str">
        <f t="shared" si="101"/>
        <v>0</v>
      </c>
      <c r="H665" s="10" t="s">
        <v>1942</v>
      </c>
      <c r="I665" s="23"/>
      <c r="J665" s="23"/>
      <c r="K665" s="23"/>
      <c r="L665" s="23"/>
      <c r="M665" s="23"/>
      <c r="N665" s="23"/>
      <c r="O665" s="23"/>
      <c r="P665" s="23" t="s">
        <v>91</v>
      </c>
      <c r="Q665" s="23"/>
      <c r="R665" s="25" t="str">
        <f t="shared" si="100"/>
        <v>&lt;b&gt;Interviewer: &lt;/b&gt;: &lt;br&gt;
Additional observations/comments by the interviewer</v>
      </c>
      <c r="S665" s="25" t="s">
        <v>1943</v>
      </c>
      <c r="T665" s="25"/>
      <c r="U665" s="25"/>
      <c r="V665" s="26"/>
      <c r="W665" s="26"/>
      <c r="X665" s="26"/>
      <c r="Y665" s="26"/>
      <c r="Z665" s="26"/>
    </row>
    <row r="666" spans="1:26" ht="15.75" hidden="1" x14ac:dyDescent="0.2">
      <c r="A666" s="8"/>
      <c r="B666" s="82" t="s">
        <v>1944</v>
      </c>
      <c r="C666" s="74" t="s">
        <v>174</v>
      </c>
      <c r="D666" s="146" t="s">
        <v>1914</v>
      </c>
      <c r="E666" s="145"/>
      <c r="F666" s="145"/>
      <c r="G666" s="145"/>
      <c r="H666" s="122"/>
      <c r="I666" s="146"/>
      <c r="J666" s="146"/>
      <c r="K666" s="146"/>
      <c r="L666" s="146"/>
      <c r="M666" s="146"/>
      <c r="N666" s="146"/>
      <c r="O666" s="146"/>
      <c r="P666" s="146"/>
      <c r="Q666" s="146"/>
      <c r="R666" s="146"/>
      <c r="S666" s="146"/>
      <c r="T666" s="146"/>
      <c r="U666" s="146"/>
      <c r="V666" s="80"/>
      <c r="W666" s="80"/>
      <c r="X666" s="80"/>
      <c r="Y666" s="80"/>
      <c r="Z666" s="80"/>
    </row>
    <row r="667" spans="1:26" x14ac:dyDescent="0.2">
      <c r="A667" s="12"/>
      <c r="B667" s="13"/>
      <c r="C667" s="123"/>
      <c r="D667" s="12"/>
      <c r="E667" s="55"/>
      <c r="F667" s="55"/>
      <c r="G667" s="55"/>
      <c r="H667" s="12"/>
      <c r="I667" s="12"/>
      <c r="J667" s="12"/>
      <c r="K667" s="12"/>
      <c r="L667" s="12"/>
      <c r="M667" s="12"/>
      <c r="N667" s="12"/>
      <c r="O667" s="12"/>
      <c r="P667" s="12"/>
      <c r="Q667" s="12"/>
      <c r="R667" s="11"/>
      <c r="S667" s="11"/>
      <c r="T667" s="11"/>
      <c r="U667" s="11"/>
      <c r="V667" s="12"/>
      <c r="W667" s="12"/>
      <c r="X667" s="12"/>
      <c r="Y667" s="12"/>
      <c r="Z667" s="12"/>
    </row>
    <row r="668" spans="1:26" x14ac:dyDescent="0.2">
      <c r="A668" s="12"/>
      <c r="B668" s="13"/>
      <c r="C668" s="123"/>
      <c r="D668" s="12"/>
      <c r="E668" s="55"/>
      <c r="F668" s="55"/>
      <c r="G668" s="55"/>
      <c r="H668" s="12"/>
      <c r="I668" s="12"/>
      <c r="J668" s="12"/>
      <c r="K668" s="12"/>
      <c r="L668" s="12"/>
      <c r="M668" s="12"/>
      <c r="N668" s="12"/>
      <c r="O668" s="12"/>
      <c r="P668" s="12"/>
      <c r="Q668" s="12"/>
      <c r="R668" s="11"/>
      <c r="S668" s="11"/>
      <c r="T668" s="11"/>
      <c r="U668" s="11"/>
      <c r="V668" s="12"/>
      <c r="W668" s="12"/>
      <c r="X668" s="12"/>
      <c r="Y668" s="12"/>
      <c r="Z668" s="12"/>
    </row>
    <row r="669" spans="1:26" x14ac:dyDescent="0.2">
      <c r="A669" s="12"/>
      <c r="B669" s="13"/>
      <c r="C669" s="123"/>
      <c r="D669" s="12"/>
      <c r="E669" s="55"/>
      <c r="F669" s="55"/>
      <c r="G669" s="55"/>
      <c r="H669" s="12"/>
      <c r="I669" s="12"/>
      <c r="J669" s="12"/>
      <c r="K669" s="12"/>
      <c r="L669" s="12"/>
      <c r="M669" s="12"/>
      <c r="N669" s="12"/>
      <c r="O669" s="12"/>
      <c r="P669" s="12"/>
      <c r="Q669" s="12"/>
      <c r="R669" s="11"/>
      <c r="S669" s="11"/>
      <c r="T669" s="11"/>
      <c r="U669" s="11"/>
      <c r="V669" s="12"/>
      <c r="W669" s="12"/>
      <c r="X669" s="12"/>
      <c r="Y669" s="12"/>
      <c r="Z669" s="12"/>
    </row>
    <row r="670" spans="1:26" x14ac:dyDescent="0.2">
      <c r="A670" s="12"/>
      <c r="B670" s="13"/>
      <c r="C670" s="123"/>
      <c r="D670" s="12"/>
      <c r="E670" s="55"/>
      <c r="F670" s="55"/>
      <c r="G670" s="55"/>
      <c r="H670" s="12"/>
      <c r="I670" s="12"/>
      <c r="J670" s="12"/>
      <c r="K670" s="12"/>
      <c r="L670" s="12"/>
      <c r="M670" s="12"/>
      <c r="N670" s="12"/>
      <c r="O670" s="12"/>
      <c r="P670" s="12"/>
      <c r="Q670" s="12"/>
      <c r="R670" s="11"/>
      <c r="S670" s="11"/>
      <c r="T670" s="11"/>
      <c r="U670" s="11"/>
      <c r="V670" s="12"/>
      <c r="W670" s="12"/>
      <c r="X670" s="12"/>
      <c r="Y670" s="12"/>
      <c r="Z670" s="12"/>
    </row>
    <row r="671" spans="1:26" x14ac:dyDescent="0.2">
      <c r="A671" s="12"/>
      <c r="B671" s="13"/>
      <c r="C671" s="123"/>
      <c r="D671" s="12"/>
      <c r="E671" s="55"/>
      <c r="F671" s="55"/>
      <c r="G671" s="55"/>
      <c r="H671" s="12"/>
      <c r="I671" s="12"/>
      <c r="J671" s="12"/>
      <c r="K671" s="12"/>
      <c r="L671" s="12"/>
      <c r="M671" s="12"/>
      <c r="N671" s="12"/>
      <c r="O671" s="12"/>
      <c r="P671" s="12"/>
      <c r="Q671" s="12"/>
      <c r="R671" s="11"/>
      <c r="S671" s="11"/>
      <c r="T671" s="11"/>
      <c r="U671" s="11"/>
      <c r="V671" s="12"/>
      <c r="W671" s="12"/>
      <c r="X671" s="12"/>
      <c r="Y671" s="12"/>
      <c r="Z671" s="12"/>
    </row>
    <row r="672" spans="1:26" x14ac:dyDescent="0.2">
      <c r="A672" s="12"/>
      <c r="B672" s="13"/>
      <c r="C672" s="123"/>
      <c r="D672" s="12"/>
      <c r="E672" s="55"/>
      <c r="F672" s="55"/>
      <c r="G672" s="55"/>
      <c r="H672" s="12"/>
      <c r="I672" s="12"/>
      <c r="J672" s="12"/>
      <c r="K672" s="12"/>
      <c r="L672" s="12"/>
      <c r="M672" s="12"/>
      <c r="N672" s="12"/>
      <c r="O672" s="12"/>
      <c r="P672" s="12"/>
      <c r="Q672" s="12"/>
      <c r="R672" s="11"/>
      <c r="S672" s="11"/>
      <c r="T672" s="11"/>
      <c r="U672" s="11"/>
      <c r="V672" s="12"/>
      <c r="W672" s="12"/>
      <c r="X672" s="12"/>
      <c r="Y672" s="12"/>
      <c r="Z672" s="12"/>
    </row>
    <row r="673" spans="1:26" x14ac:dyDescent="0.2">
      <c r="A673" s="12"/>
      <c r="B673" s="13"/>
      <c r="C673" s="123"/>
      <c r="D673" s="12"/>
      <c r="E673" s="55"/>
      <c r="F673" s="55"/>
      <c r="G673" s="55"/>
      <c r="H673" s="12"/>
      <c r="I673" s="12"/>
      <c r="J673" s="12"/>
      <c r="K673" s="12"/>
      <c r="L673" s="12"/>
      <c r="M673" s="12"/>
      <c r="N673" s="12"/>
      <c r="O673" s="12"/>
      <c r="P673" s="12"/>
      <c r="Q673" s="12"/>
      <c r="R673" s="11"/>
      <c r="S673" s="11"/>
      <c r="T673" s="11"/>
      <c r="U673" s="11"/>
      <c r="V673" s="12"/>
      <c r="W673" s="12"/>
      <c r="X673" s="12"/>
      <c r="Y673" s="12"/>
      <c r="Z673" s="12"/>
    </row>
    <row r="674" spans="1:26" x14ac:dyDescent="0.2">
      <c r="A674" s="12"/>
      <c r="B674" s="13"/>
      <c r="C674" s="123"/>
      <c r="D674" s="12"/>
      <c r="E674" s="55"/>
      <c r="F674" s="55"/>
      <c r="G674" s="55"/>
      <c r="H674" s="12"/>
      <c r="I674" s="12"/>
      <c r="J674" s="12"/>
      <c r="K674" s="12"/>
      <c r="L674" s="12"/>
      <c r="M674" s="12"/>
      <c r="N674" s="12"/>
      <c r="O674" s="12"/>
      <c r="P674" s="12"/>
      <c r="Q674" s="12"/>
      <c r="R674" s="11"/>
      <c r="S674" s="11"/>
      <c r="T674" s="11"/>
      <c r="U674" s="11"/>
      <c r="V674" s="12"/>
      <c r="W674" s="12"/>
      <c r="X674" s="12"/>
      <c r="Y674" s="12"/>
      <c r="Z674" s="12"/>
    </row>
    <row r="675" spans="1:26" x14ac:dyDescent="0.2">
      <c r="A675" s="12"/>
      <c r="B675" s="13"/>
      <c r="C675" s="123"/>
      <c r="D675" s="12"/>
      <c r="E675" s="55"/>
      <c r="F675" s="55"/>
      <c r="G675" s="55"/>
      <c r="H675" s="12"/>
      <c r="I675" s="12"/>
      <c r="J675" s="12"/>
      <c r="K675" s="12"/>
      <c r="L675" s="12"/>
      <c r="M675" s="12"/>
      <c r="N675" s="12"/>
      <c r="O675" s="12"/>
      <c r="P675" s="12"/>
      <c r="Q675" s="12"/>
      <c r="R675" s="11"/>
      <c r="S675" s="11"/>
      <c r="T675" s="11"/>
      <c r="U675" s="11"/>
      <c r="V675" s="12"/>
      <c r="W675" s="12"/>
      <c r="X675" s="12"/>
      <c r="Y675" s="12"/>
      <c r="Z675" s="12"/>
    </row>
    <row r="676" spans="1:26" x14ac:dyDescent="0.2">
      <c r="A676" s="12"/>
      <c r="B676" s="13"/>
      <c r="C676" s="123"/>
      <c r="D676" s="12"/>
      <c r="E676" s="55"/>
      <c r="F676" s="55"/>
      <c r="G676" s="55"/>
      <c r="H676" s="12"/>
      <c r="I676" s="12"/>
      <c r="J676" s="12"/>
      <c r="K676" s="12"/>
      <c r="L676" s="12"/>
      <c r="M676" s="12"/>
      <c r="N676" s="12"/>
      <c r="O676" s="12"/>
      <c r="P676" s="12"/>
      <c r="Q676" s="12"/>
      <c r="R676" s="11"/>
      <c r="S676" s="11"/>
      <c r="T676" s="11"/>
      <c r="U676" s="11"/>
      <c r="V676" s="12"/>
      <c r="W676" s="12"/>
      <c r="X676" s="12"/>
      <c r="Y676" s="12"/>
      <c r="Z676" s="12"/>
    </row>
    <row r="677" spans="1:26" x14ac:dyDescent="0.2">
      <c r="A677" s="12"/>
      <c r="B677" s="13"/>
      <c r="C677" s="123"/>
      <c r="D677" s="12"/>
      <c r="E677" s="55"/>
      <c r="F677" s="55"/>
      <c r="G677" s="55"/>
      <c r="H677" s="12"/>
      <c r="I677" s="12"/>
      <c r="J677" s="12"/>
      <c r="K677" s="12"/>
      <c r="L677" s="12"/>
      <c r="M677" s="12"/>
      <c r="N677" s="12"/>
      <c r="O677" s="12"/>
      <c r="P677" s="12"/>
      <c r="Q677" s="12"/>
      <c r="R677" s="11"/>
      <c r="S677" s="11"/>
      <c r="T677" s="11"/>
      <c r="U677" s="11"/>
      <c r="V677" s="12"/>
      <c r="W677" s="12"/>
      <c r="X677" s="12"/>
      <c r="Y677" s="12"/>
      <c r="Z677" s="12"/>
    </row>
    <row r="678" spans="1:26" x14ac:dyDescent="0.2">
      <c r="A678" s="12"/>
      <c r="B678" s="13"/>
      <c r="C678" s="123"/>
      <c r="D678" s="12"/>
      <c r="E678" s="55"/>
      <c r="F678" s="55"/>
      <c r="G678" s="55"/>
      <c r="H678" s="12"/>
      <c r="I678" s="12"/>
      <c r="J678" s="12"/>
      <c r="K678" s="12"/>
      <c r="L678" s="12"/>
      <c r="M678" s="12"/>
      <c r="N678" s="12"/>
      <c r="O678" s="12"/>
      <c r="P678" s="12"/>
      <c r="Q678" s="12"/>
      <c r="R678" s="11"/>
      <c r="S678" s="11"/>
      <c r="T678" s="11"/>
      <c r="U678" s="11"/>
      <c r="V678" s="12"/>
      <c r="W678" s="12"/>
      <c r="X678" s="12"/>
      <c r="Y678" s="12"/>
      <c r="Z678" s="12"/>
    </row>
    <row r="679" spans="1:26" x14ac:dyDescent="0.2">
      <c r="A679" s="12"/>
      <c r="B679" s="13"/>
      <c r="C679" s="123"/>
      <c r="D679" s="12"/>
      <c r="E679" s="55"/>
      <c r="F679" s="55"/>
      <c r="G679" s="55"/>
      <c r="H679" s="12"/>
      <c r="I679" s="12"/>
      <c r="J679" s="12"/>
      <c r="K679" s="12"/>
      <c r="L679" s="12"/>
      <c r="M679" s="12"/>
      <c r="N679" s="12"/>
      <c r="O679" s="12"/>
      <c r="P679" s="12"/>
      <c r="Q679" s="12"/>
      <c r="R679" s="11"/>
      <c r="S679" s="11"/>
      <c r="T679" s="11"/>
      <c r="U679" s="11"/>
      <c r="V679" s="12"/>
      <c r="W679" s="12"/>
      <c r="X679" s="12"/>
      <c r="Y679" s="12"/>
      <c r="Z679" s="12"/>
    </row>
    <row r="680" spans="1:26" x14ac:dyDescent="0.2">
      <c r="A680" s="12"/>
      <c r="B680" s="13"/>
      <c r="C680" s="123"/>
      <c r="D680" s="12"/>
      <c r="E680" s="55"/>
      <c r="F680" s="55"/>
      <c r="G680" s="55"/>
      <c r="H680" s="12"/>
      <c r="I680" s="12"/>
      <c r="J680" s="12"/>
      <c r="K680" s="12"/>
      <c r="L680" s="12"/>
      <c r="M680" s="12"/>
      <c r="N680" s="12"/>
      <c r="O680" s="12"/>
      <c r="P680" s="12"/>
      <c r="Q680" s="12"/>
      <c r="R680" s="11"/>
      <c r="S680" s="11"/>
      <c r="T680" s="11"/>
      <c r="U680" s="11"/>
      <c r="V680" s="12"/>
      <c r="W680" s="12"/>
      <c r="X680" s="12"/>
      <c r="Y680" s="12"/>
      <c r="Z680" s="12"/>
    </row>
    <row r="681" spans="1:26" x14ac:dyDescent="0.2">
      <c r="A681" s="12"/>
      <c r="B681" s="13"/>
      <c r="C681" s="123"/>
      <c r="D681" s="12"/>
      <c r="E681" s="55"/>
      <c r="F681" s="55"/>
      <c r="G681" s="55"/>
      <c r="H681" s="12"/>
      <c r="I681" s="12"/>
      <c r="J681" s="12"/>
      <c r="K681" s="12"/>
      <c r="L681" s="12"/>
      <c r="M681" s="12"/>
      <c r="N681" s="12"/>
      <c r="O681" s="12"/>
      <c r="P681" s="12"/>
      <c r="Q681" s="12"/>
      <c r="R681" s="11"/>
      <c r="S681" s="11"/>
      <c r="T681" s="11"/>
      <c r="U681" s="11"/>
      <c r="V681" s="12"/>
      <c r="W681" s="12"/>
      <c r="X681" s="12"/>
      <c r="Y681" s="12"/>
      <c r="Z681" s="12"/>
    </row>
    <row r="682" spans="1:26" x14ac:dyDescent="0.2">
      <c r="A682" s="12"/>
      <c r="B682" s="13"/>
      <c r="C682" s="123"/>
      <c r="D682" s="12"/>
      <c r="E682" s="55"/>
      <c r="F682" s="55"/>
      <c r="G682" s="55"/>
      <c r="H682" s="12"/>
      <c r="I682" s="12"/>
      <c r="J682" s="12"/>
      <c r="K682" s="12"/>
      <c r="L682" s="12"/>
      <c r="M682" s="12"/>
      <c r="N682" s="12"/>
      <c r="O682" s="12"/>
      <c r="P682" s="12"/>
      <c r="Q682" s="12"/>
      <c r="R682" s="11"/>
      <c r="S682" s="11"/>
      <c r="T682" s="11"/>
      <c r="U682" s="11"/>
      <c r="V682" s="12"/>
      <c r="W682" s="12"/>
      <c r="X682" s="12"/>
      <c r="Y682" s="12"/>
      <c r="Z682" s="12"/>
    </row>
    <row r="683" spans="1:26" x14ac:dyDescent="0.2">
      <c r="A683" s="12"/>
      <c r="B683" s="13"/>
      <c r="C683" s="123"/>
      <c r="D683" s="12"/>
      <c r="E683" s="55"/>
      <c r="F683" s="55"/>
      <c r="G683" s="55"/>
      <c r="H683" s="12"/>
      <c r="I683" s="12"/>
      <c r="J683" s="12"/>
      <c r="K683" s="12"/>
      <c r="L683" s="12"/>
      <c r="M683" s="12"/>
      <c r="N683" s="12"/>
      <c r="O683" s="12"/>
      <c r="P683" s="12"/>
      <c r="Q683" s="12"/>
      <c r="R683" s="11"/>
      <c r="S683" s="11"/>
      <c r="T683" s="11"/>
      <c r="U683" s="11"/>
      <c r="V683" s="12"/>
      <c r="W683" s="12"/>
      <c r="X683" s="12"/>
      <c r="Y683" s="12"/>
      <c r="Z683" s="12"/>
    </row>
    <row r="684" spans="1:26" x14ac:dyDescent="0.2">
      <c r="A684" s="12"/>
      <c r="B684" s="13"/>
      <c r="C684" s="123"/>
      <c r="D684" s="12"/>
      <c r="E684" s="55"/>
      <c r="F684" s="55"/>
      <c r="G684" s="55"/>
      <c r="H684" s="12"/>
      <c r="I684" s="12"/>
      <c r="J684" s="12"/>
      <c r="K684" s="12"/>
      <c r="L684" s="12"/>
      <c r="M684" s="12"/>
      <c r="N684" s="12"/>
      <c r="O684" s="12"/>
      <c r="P684" s="12"/>
      <c r="Q684" s="12"/>
      <c r="R684" s="11"/>
      <c r="S684" s="11"/>
      <c r="T684" s="11"/>
      <c r="U684" s="11"/>
      <c r="V684" s="12"/>
      <c r="W684" s="12"/>
      <c r="X684" s="12"/>
      <c r="Y684" s="12"/>
      <c r="Z684" s="12"/>
    </row>
    <row r="685" spans="1:26" x14ac:dyDescent="0.2">
      <c r="A685" s="12"/>
      <c r="B685" s="13"/>
      <c r="C685" s="123"/>
      <c r="D685" s="12"/>
      <c r="E685" s="55"/>
      <c r="F685" s="55"/>
      <c r="G685" s="55"/>
      <c r="H685" s="12"/>
      <c r="I685" s="12"/>
      <c r="J685" s="12"/>
      <c r="K685" s="12"/>
      <c r="L685" s="12"/>
      <c r="M685" s="12"/>
      <c r="N685" s="12"/>
      <c r="O685" s="12"/>
      <c r="P685" s="12"/>
      <c r="Q685" s="12"/>
      <c r="R685" s="11"/>
      <c r="S685" s="11"/>
      <c r="T685" s="11"/>
      <c r="U685" s="11"/>
      <c r="V685" s="12"/>
      <c r="W685" s="12"/>
      <c r="X685" s="12"/>
      <c r="Y685" s="12"/>
      <c r="Z685" s="12"/>
    </row>
    <row r="686" spans="1:26" x14ac:dyDescent="0.2">
      <c r="A686" s="12"/>
      <c r="B686" s="13"/>
      <c r="C686" s="123"/>
      <c r="D686" s="12"/>
      <c r="E686" s="55"/>
      <c r="F686" s="55"/>
      <c r="G686" s="55"/>
      <c r="H686" s="12"/>
      <c r="I686" s="12"/>
      <c r="J686" s="12"/>
      <c r="K686" s="12"/>
      <c r="L686" s="12"/>
      <c r="M686" s="12"/>
      <c r="N686" s="12"/>
      <c r="O686" s="12"/>
      <c r="P686" s="12"/>
      <c r="Q686" s="12"/>
      <c r="R686" s="11"/>
      <c r="S686" s="11"/>
      <c r="T686" s="11"/>
      <c r="U686" s="11"/>
      <c r="V686" s="12"/>
      <c r="W686" s="12"/>
      <c r="X686" s="12"/>
      <c r="Y686" s="12"/>
      <c r="Z686" s="12"/>
    </row>
    <row r="687" spans="1:26" x14ac:dyDescent="0.2">
      <c r="A687" s="12"/>
      <c r="B687" s="13"/>
      <c r="C687" s="123"/>
      <c r="D687" s="12"/>
      <c r="E687" s="55"/>
      <c r="F687" s="55"/>
      <c r="G687" s="55"/>
      <c r="H687" s="12"/>
      <c r="I687" s="12"/>
      <c r="J687" s="12"/>
      <c r="K687" s="12"/>
      <c r="L687" s="12"/>
      <c r="M687" s="12"/>
      <c r="N687" s="12"/>
      <c r="O687" s="12"/>
      <c r="P687" s="12"/>
      <c r="Q687" s="12"/>
      <c r="R687" s="11"/>
      <c r="S687" s="11"/>
      <c r="T687" s="11"/>
      <c r="U687" s="11"/>
      <c r="V687" s="12"/>
      <c r="W687" s="12"/>
      <c r="X687" s="12"/>
      <c r="Y687" s="12"/>
      <c r="Z687" s="12"/>
    </row>
    <row r="688" spans="1:26" x14ac:dyDescent="0.2">
      <c r="A688" s="12"/>
      <c r="B688" s="13"/>
      <c r="C688" s="123"/>
      <c r="D688" s="12"/>
      <c r="E688" s="55"/>
      <c r="F688" s="55"/>
      <c r="G688" s="55"/>
      <c r="H688" s="12"/>
      <c r="I688" s="12"/>
      <c r="J688" s="12"/>
      <c r="K688" s="12"/>
      <c r="L688" s="12"/>
      <c r="M688" s="12"/>
      <c r="N688" s="12"/>
      <c r="O688" s="12"/>
      <c r="P688" s="12"/>
      <c r="Q688" s="12"/>
      <c r="R688" s="11"/>
      <c r="S688" s="11"/>
      <c r="T688" s="11"/>
      <c r="U688" s="11"/>
      <c r="V688" s="12"/>
      <c r="W688" s="12"/>
      <c r="X688" s="12"/>
      <c r="Y688" s="12"/>
      <c r="Z688" s="12"/>
    </row>
    <row r="689" spans="1:26" x14ac:dyDescent="0.2">
      <c r="A689" s="12"/>
      <c r="B689" s="83"/>
      <c r="C689" s="114"/>
      <c r="D689" s="10"/>
      <c r="E689" s="15"/>
      <c r="F689" s="15"/>
      <c r="G689" s="15"/>
      <c r="H689" s="10"/>
      <c r="I689" s="10"/>
      <c r="J689" s="10"/>
      <c r="K689" s="10"/>
      <c r="L689" s="10"/>
      <c r="M689" s="10"/>
      <c r="N689" s="10"/>
      <c r="O689" s="10"/>
      <c r="P689" s="10"/>
      <c r="Q689" s="10"/>
      <c r="R689" s="11"/>
      <c r="S689" s="11"/>
      <c r="T689" s="11"/>
      <c r="U689" s="11"/>
      <c r="V689" s="36"/>
      <c r="W689" s="36"/>
      <c r="X689" s="36"/>
      <c r="Y689" s="36"/>
      <c r="Z689" s="36"/>
    </row>
    <row r="690" spans="1:26" x14ac:dyDescent="0.2">
      <c r="A690" s="12"/>
      <c r="B690" s="13"/>
      <c r="C690" s="123"/>
      <c r="D690" s="12"/>
      <c r="E690" s="55"/>
      <c r="F690" s="55"/>
      <c r="G690" s="55"/>
      <c r="H690" s="12"/>
      <c r="I690" s="12"/>
      <c r="J690" s="12"/>
      <c r="K690" s="12"/>
      <c r="L690" s="12"/>
      <c r="M690" s="12"/>
      <c r="N690" s="12"/>
      <c r="O690" s="12"/>
      <c r="P690" s="12"/>
      <c r="Q690" s="12"/>
      <c r="R690" s="11"/>
      <c r="S690" s="11"/>
      <c r="T690" s="11"/>
      <c r="U690" s="11"/>
      <c r="V690" s="12"/>
      <c r="W690" s="12"/>
      <c r="X690" s="12"/>
      <c r="Y690" s="12"/>
      <c r="Z690" s="12"/>
    </row>
    <row r="691" spans="1:26" x14ac:dyDescent="0.2">
      <c r="A691" s="12"/>
      <c r="B691" s="13"/>
      <c r="C691" s="123"/>
      <c r="D691" s="12"/>
      <c r="E691" s="55"/>
      <c r="F691" s="55"/>
      <c r="G691" s="55"/>
      <c r="H691" s="12"/>
      <c r="I691" s="12"/>
      <c r="J691" s="12"/>
      <c r="K691" s="12"/>
      <c r="L691" s="12"/>
      <c r="M691" s="12"/>
      <c r="N691" s="12"/>
      <c r="O691" s="12"/>
      <c r="P691" s="12"/>
      <c r="Q691" s="12"/>
      <c r="R691" s="11"/>
      <c r="S691" s="11"/>
      <c r="T691" s="11"/>
      <c r="U691" s="11"/>
      <c r="V691" s="12"/>
      <c r="W691" s="12"/>
      <c r="X691" s="12"/>
      <c r="Y691" s="12"/>
      <c r="Z691" s="12"/>
    </row>
    <row r="692" spans="1:26" x14ac:dyDescent="0.2">
      <c r="A692" s="12"/>
      <c r="B692" s="13"/>
      <c r="C692" s="123"/>
      <c r="D692" s="12"/>
      <c r="E692" s="55"/>
      <c r="F692" s="55"/>
      <c r="G692" s="55"/>
      <c r="H692" s="12"/>
      <c r="I692" s="12"/>
      <c r="J692" s="12"/>
      <c r="K692" s="12"/>
      <c r="L692" s="12"/>
      <c r="M692" s="12"/>
      <c r="N692" s="12"/>
      <c r="O692" s="12"/>
      <c r="P692" s="12"/>
      <c r="Q692" s="12"/>
      <c r="R692" s="11"/>
      <c r="S692" s="11"/>
      <c r="T692" s="11"/>
      <c r="U692" s="11"/>
      <c r="V692" s="12"/>
      <c r="W692" s="12"/>
      <c r="X692" s="12"/>
      <c r="Y692" s="12"/>
      <c r="Z692" s="12"/>
    </row>
    <row r="693" spans="1:26" x14ac:dyDescent="0.2">
      <c r="A693" s="12"/>
      <c r="B693" s="13"/>
      <c r="C693" s="123"/>
      <c r="D693" s="12"/>
      <c r="E693" s="55"/>
      <c r="F693" s="55"/>
      <c r="G693" s="55"/>
      <c r="H693" s="12"/>
      <c r="I693" s="12"/>
      <c r="J693" s="12"/>
      <c r="K693" s="12"/>
      <c r="L693" s="12"/>
      <c r="M693" s="12"/>
      <c r="N693" s="12"/>
      <c r="O693" s="12"/>
      <c r="P693" s="12"/>
      <c r="Q693" s="12"/>
      <c r="R693" s="11"/>
      <c r="S693" s="11"/>
      <c r="T693" s="11"/>
      <c r="U693" s="11"/>
      <c r="V693" s="12"/>
      <c r="W693" s="12"/>
      <c r="X693" s="12"/>
      <c r="Y693" s="12"/>
      <c r="Z693" s="12"/>
    </row>
    <row r="694" spans="1:26" x14ac:dyDescent="0.2">
      <c r="A694" s="12"/>
      <c r="B694" s="13"/>
      <c r="C694" s="123"/>
      <c r="D694" s="12"/>
      <c r="E694" s="55"/>
      <c r="F694" s="55"/>
      <c r="G694" s="55"/>
      <c r="H694" s="12"/>
      <c r="I694" s="12"/>
      <c r="J694" s="12"/>
      <c r="K694" s="12"/>
      <c r="L694" s="12"/>
      <c r="M694" s="12"/>
      <c r="N694" s="12"/>
      <c r="O694" s="12"/>
      <c r="P694" s="12"/>
      <c r="Q694" s="12"/>
      <c r="R694" s="11"/>
      <c r="S694" s="11"/>
      <c r="T694" s="11"/>
      <c r="U694" s="11"/>
      <c r="V694" s="12"/>
      <c r="W694" s="12"/>
      <c r="X694" s="12"/>
      <c r="Y694" s="12"/>
      <c r="Z694" s="12"/>
    </row>
    <row r="695" spans="1:26" x14ac:dyDescent="0.2">
      <c r="A695" s="12"/>
      <c r="B695" s="13"/>
      <c r="C695" s="123"/>
      <c r="D695" s="12"/>
      <c r="E695" s="55"/>
      <c r="F695" s="55"/>
      <c r="G695" s="55"/>
      <c r="H695" s="12"/>
      <c r="I695" s="12"/>
      <c r="J695" s="12"/>
      <c r="K695" s="12"/>
      <c r="L695" s="12"/>
      <c r="M695" s="12"/>
      <c r="N695" s="12"/>
      <c r="O695" s="12"/>
      <c r="P695" s="12"/>
      <c r="Q695" s="12"/>
      <c r="R695" s="11"/>
      <c r="S695" s="11"/>
      <c r="T695" s="11"/>
      <c r="U695" s="11"/>
      <c r="V695" s="12"/>
      <c r="W695" s="12"/>
      <c r="X695" s="12"/>
      <c r="Y695" s="12"/>
      <c r="Z695" s="12"/>
    </row>
    <row r="696" spans="1:26" x14ac:dyDescent="0.2">
      <c r="A696" s="12"/>
      <c r="B696" s="13"/>
      <c r="C696" s="123"/>
      <c r="D696" s="12"/>
      <c r="E696" s="55"/>
      <c r="F696" s="55"/>
      <c r="G696" s="55"/>
      <c r="H696" s="12"/>
      <c r="I696" s="12"/>
      <c r="J696" s="12"/>
      <c r="K696" s="12"/>
      <c r="L696" s="12"/>
      <c r="M696" s="12"/>
      <c r="N696" s="12"/>
      <c r="O696" s="12"/>
      <c r="P696" s="12"/>
      <c r="Q696" s="12"/>
      <c r="R696" s="11"/>
      <c r="S696" s="11"/>
      <c r="T696" s="11"/>
      <c r="U696" s="11"/>
      <c r="V696" s="12"/>
      <c r="W696" s="12"/>
      <c r="X696" s="12"/>
      <c r="Y696" s="12"/>
      <c r="Z696" s="12"/>
    </row>
    <row r="697" spans="1:26" x14ac:dyDescent="0.2">
      <c r="A697" s="12"/>
      <c r="B697" s="13"/>
      <c r="C697" s="123"/>
      <c r="D697" s="12"/>
      <c r="E697" s="55"/>
      <c r="F697" s="55"/>
      <c r="G697" s="55"/>
      <c r="H697" s="12"/>
      <c r="I697" s="12"/>
      <c r="J697" s="12"/>
      <c r="K697" s="12"/>
      <c r="L697" s="12"/>
      <c r="M697" s="12"/>
      <c r="N697" s="12"/>
      <c r="O697" s="12"/>
      <c r="P697" s="12"/>
      <c r="Q697" s="12"/>
      <c r="R697" s="11"/>
      <c r="S697" s="11"/>
      <c r="T697" s="11"/>
      <c r="U697" s="11"/>
      <c r="V697" s="12"/>
      <c r="W697" s="12"/>
      <c r="X697" s="12"/>
      <c r="Y697" s="12"/>
      <c r="Z697" s="12"/>
    </row>
    <row r="698" spans="1:26" x14ac:dyDescent="0.2">
      <c r="A698" s="12"/>
      <c r="B698" s="13"/>
      <c r="C698" s="123"/>
      <c r="D698" s="12"/>
      <c r="E698" s="55"/>
      <c r="F698" s="55"/>
      <c r="G698" s="55"/>
      <c r="H698" s="12"/>
      <c r="I698" s="12"/>
      <c r="J698" s="12"/>
      <c r="K698" s="12"/>
      <c r="L698" s="12"/>
      <c r="M698" s="12"/>
      <c r="N698" s="12"/>
      <c r="O698" s="12"/>
      <c r="P698" s="12"/>
      <c r="Q698" s="12"/>
      <c r="R698" s="11"/>
      <c r="S698" s="11"/>
      <c r="T698" s="11"/>
      <c r="U698" s="11"/>
      <c r="V698" s="12"/>
      <c r="W698" s="12"/>
      <c r="X698" s="12"/>
      <c r="Y698" s="12"/>
      <c r="Z698" s="12"/>
    </row>
    <row r="699" spans="1:26" x14ac:dyDescent="0.2">
      <c r="A699" s="12"/>
      <c r="B699" s="13"/>
      <c r="C699" s="123"/>
      <c r="D699" s="12"/>
      <c r="E699" s="55"/>
      <c r="F699" s="55"/>
      <c r="G699" s="55"/>
      <c r="H699" s="12"/>
      <c r="I699" s="12"/>
      <c r="J699" s="12"/>
      <c r="K699" s="12"/>
      <c r="L699" s="12"/>
      <c r="M699" s="12"/>
      <c r="N699" s="12"/>
      <c r="O699" s="12"/>
      <c r="P699" s="12"/>
      <c r="Q699" s="12"/>
      <c r="R699" s="11"/>
      <c r="S699" s="11"/>
      <c r="T699" s="11"/>
      <c r="U699" s="11"/>
      <c r="V699" s="12"/>
      <c r="W699" s="12"/>
      <c r="X699" s="12"/>
      <c r="Y699" s="12"/>
      <c r="Z699" s="12"/>
    </row>
    <row r="700" spans="1:26" x14ac:dyDescent="0.2">
      <c r="A700" s="12"/>
      <c r="B700" s="13"/>
      <c r="C700" s="123"/>
      <c r="D700" s="12"/>
      <c r="E700" s="55"/>
      <c r="F700" s="55"/>
      <c r="G700" s="55"/>
      <c r="H700" s="12"/>
      <c r="I700" s="12"/>
      <c r="J700" s="12"/>
      <c r="K700" s="12"/>
      <c r="L700" s="12"/>
      <c r="M700" s="12"/>
      <c r="N700" s="12"/>
      <c r="O700" s="12"/>
      <c r="P700" s="12"/>
      <c r="Q700" s="12"/>
      <c r="R700" s="11"/>
      <c r="S700" s="11"/>
      <c r="T700" s="11"/>
      <c r="U700" s="11"/>
      <c r="V700" s="12"/>
      <c r="W700" s="12"/>
      <c r="X700" s="12"/>
      <c r="Y700" s="12"/>
      <c r="Z700" s="12"/>
    </row>
    <row r="701" spans="1:26" x14ac:dyDescent="0.2">
      <c r="A701" s="12"/>
      <c r="B701" s="13"/>
      <c r="C701" s="123"/>
      <c r="D701" s="12"/>
      <c r="E701" s="55"/>
      <c r="F701" s="55"/>
      <c r="G701" s="55"/>
      <c r="H701" s="12"/>
      <c r="I701" s="12"/>
      <c r="J701" s="12"/>
      <c r="K701" s="12"/>
      <c r="L701" s="12"/>
      <c r="M701" s="12"/>
      <c r="N701" s="12"/>
      <c r="O701" s="12"/>
      <c r="P701" s="12"/>
      <c r="Q701" s="12"/>
      <c r="R701" s="11"/>
      <c r="S701" s="11"/>
      <c r="T701" s="11"/>
      <c r="U701" s="11"/>
      <c r="V701" s="12"/>
      <c r="W701" s="12"/>
      <c r="X701" s="12"/>
      <c r="Y701" s="12"/>
      <c r="Z701" s="12"/>
    </row>
    <row r="702" spans="1:26" x14ac:dyDescent="0.2">
      <c r="A702" s="12"/>
      <c r="B702" s="13"/>
      <c r="C702" s="123"/>
      <c r="D702" s="12"/>
      <c r="E702" s="55"/>
      <c r="F702" s="55"/>
      <c r="G702" s="55"/>
      <c r="H702" s="12"/>
      <c r="I702" s="12"/>
      <c r="J702" s="12"/>
      <c r="K702" s="12"/>
      <c r="L702" s="12"/>
      <c r="M702" s="12"/>
      <c r="N702" s="12"/>
      <c r="O702" s="12"/>
      <c r="P702" s="12"/>
      <c r="Q702" s="12"/>
      <c r="R702" s="11"/>
      <c r="S702" s="11"/>
      <c r="T702" s="11"/>
      <c r="U702" s="11"/>
      <c r="V702" s="12"/>
      <c r="W702" s="12"/>
      <c r="X702" s="12"/>
      <c r="Y702" s="12"/>
      <c r="Z702" s="12"/>
    </row>
    <row r="703" spans="1:26" x14ac:dyDescent="0.2">
      <c r="A703" s="12"/>
      <c r="B703" s="13"/>
      <c r="C703" s="123"/>
      <c r="D703" s="12"/>
      <c r="E703" s="55"/>
      <c r="F703" s="55"/>
      <c r="G703" s="55"/>
      <c r="H703" s="12"/>
      <c r="I703" s="12"/>
      <c r="J703" s="12"/>
      <c r="K703" s="12"/>
      <c r="L703" s="12"/>
      <c r="M703" s="12"/>
      <c r="N703" s="12"/>
      <c r="O703" s="12"/>
      <c r="P703" s="12"/>
      <c r="Q703" s="12"/>
      <c r="R703" s="11"/>
      <c r="S703" s="11"/>
      <c r="T703" s="11"/>
      <c r="U703" s="11"/>
      <c r="V703" s="12"/>
      <c r="W703" s="12"/>
      <c r="X703" s="12"/>
      <c r="Y703" s="12"/>
      <c r="Z703" s="12"/>
    </row>
    <row r="704" spans="1:26" x14ac:dyDescent="0.2">
      <c r="A704" s="12"/>
      <c r="B704" s="13"/>
      <c r="C704" s="123"/>
      <c r="D704" s="12"/>
      <c r="E704" s="55"/>
      <c r="F704" s="55"/>
      <c r="G704" s="55"/>
      <c r="H704" s="12"/>
      <c r="I704" s="12"/>
      <c r="J704" s="12"/>
      <c r="K704" s="12"/>
      <c r="L704" s="12"/>
      <c r="M704" s="12"/>
      <c r="N704" s="12"/>
      <c r="O704" s="12"/>
      <c r="P704" s="12"/>
      <c r="Q704" s="12"/>
      <c r="R704" s="11"/>
      <c r="S704" s="11"/>
      <c r="T704" s="11"/>
      <c r="U704" s="11"/>
      <c r="V704" s="12"/>
      <c r="W704" s="12"/>
      <c r="X704" s="12"/>
      <c r="Y704" s="12"/>
      <c r="Z704" s="12"/>
    </row>
    <row r="705" spans="1:26" x14ac:dyDescent="0.2">
      <c r="A705" s="12"/>
      <c r="B705" s="13"/>
      <c r="C705" s="123"/>
      <c r="D705" s="12"/>
      <c r="E705" s="55"/>
      <c r="F705" s="55"/>
      <c r="G705" s="55"/>
      <c r="H705" s="12"/>
      <c r="I705" s="12"/>
      <c r="J705" s="12"/>
      <c r="K705" s="12"/>
      <c r="L705" s="12"/>
      <c r="M705" s="12"/>
      <c r="N705" s="12"/>
      <c r="O705" s="12"/>
      <c r="P705" s="12"/>
      <c r="Q705" s="12"/>
      <c r="R705" s="11"/>
      <c r="S705" s="11"/>
      <c r="T705" s="11"/>
      <c r="U705" s="11"/>
      <c r="V705" s="12"/>
      <c r="W705" s="12"/>
      <c r="X705" s="12"/>
      <c r="Y705" s="12"/>
      <c r="Z705" s="12"/>
    </row>
    <row r="706" spans="1:26" x14ac:dyDescent="0.2">
      <c r="A706" s="12"/>
      <c r="B706" s="13"/>
      <c r="C706" s="123"/>
      <c r="D706" s="12"/>
      <c r="E706" s="55"/>
      <c r="F706" s="55"/>
      <c r="G706" s="55"/>
      <c r="H706" s="12"/>
      <c r="I706" s="12"/>
      <c r="J706" s="12"/>
      <c r="K706" s="12"/>
      <c r="L706" s="12"/>
      <c r="M706" s="12"/>
      <c r="N706" s="12"/>
      <c r="O706" s="12"/>
      <c r="P706" s="12"/>
      <c r="Q706" s="12"/>
      <c r="R706" s="11"/>
      <c r="S706" s="11"/>
      <c r="T706" s="11"/>
      <c r="U706" s="11"/>
      <c r="V706" s="12"/>
      <c r="W706" s="12"/>
      <c r="X706" s="12"/>
      <c r="Y706" s="12"/>
      <c r="Z706" s="12"/>
    </row>
    <row r="707" spans="1:26" x14ac:dyDescent="0.2">
      <c r="A707" s="12"/>
      <c r="B707" s="13"/>
      <c r="C707" s="123"/>
      <c r="D707" s="12"/>
      <c r="E707" s="55"/>
      <c r="F707" s="55"/>
      <c r="G707" s="55"/>
      <c r="H707" s="12"/>
      <c r="I707" s="12"/>
      <c r="J707" s="12"/>
      <c r="K707" s="12"/>
      <c r="L707" s="12"/>
      <c r="M707" s="12"/>
      <c r="N707" s="12"/>
      <c r="O707" s="12"/>
      <c r="P707" s="12"/>
      <c r="Q707" s="12"/>
      <c r="R707" s="11"/>
      <c r="S707" s="11"/>
      <c r="T707" s="11"/>
      <c r="U707" s="11"/>
      <c r="V707" s="12"/>
      <c r="W707" s="12"/>
      <c r="X707" s="12"/>
      <c r="Y707" s="12"/>
      <c r="Z707" s="12"/>
    </row>
    <row r="708" spans="1:26" x14ac:dyDescent="0.2">
      <c r="A708" s="12"/>
      <c r="B708" s="13"/>
      <c r="C708" s="123"/>
      <c r="D708" s="12"/>
      <c r="E708" s="55"/>
      <c r="F708" s="55"/>
      <c r="G708" s="55"/>
      <c r="H708" s="12"/>
      <c r="I708" s="12"/>
      <c r="J708" s="12"/>
      <c r="K708" s="12"/>
      <c r="L708" s="12"/>
      <c r="M708" s="12"/>
      <c r="N708" s="12"/>
      <c r="O708" s="12"/>
      <c r="P708" s="12"/>
      <c r="Q708" s="12"/>
      <c r="R708" s="11"/>
      <c r="S708" s="11"/>
      <c r="T708" s="11"/>
      <c r="U708" s="11"/>
      <c r="V708" s="12"/>
      <c r="W708" s="12"/>
      <c r="X708" s="12"/>
      <c r="Y708" s="12"/>
      <c r="Z708" s="12"/>
    </row>
    <row r="709" spans="1:26" x14ac:dyDescent="0.2">
      <c r="A709" s="12"/>
      <c r="B709" s="13"/>
      <c r="C709" s="123"/>
      <c r="D709" s="12"/>
      <c r="E709" s="55"/>
      <c r="F709" s="55"/>
      <c r="G709" s="55"/>
      <c r="H709" s="12"/>
      <c r="I709" s="12"/>
      <c r="J709" s="12"/>
      <c r="K709" s="12"/>
      <c r="L709" s="12"/>
      <c r="M709" s="12"/>
      <c r="N709" s="12"/>
      <c r="O709" s="12"/>
      <c r="P709" s="12"/>
      <c r="Q709" s="12"/>
      <c r="R709" s="11"/>
      <c r="S709" s="11"/>
      <c r="T709" s="11"/>
      <c r="U709" s="11"/>
      <c r="V709" s="12"/>
      <c r="W709" s="12"/>
      <c r="X709" s="12"/>
      <c r="Y709" s="12"/>
      <c r="Z709" s="12"/>
    </row>
    <row r="710" spans="1:26" x14ac:dyDescent="0.2">
      <c r="A710" s="12"/>
      <c r="B710" s="13"/>
      <c r="C710" s="123"/>
      <c r="D710" s="12"/>
      <c r="E710" s="55"/>
      <c r="F710" s="55"/>
      <c r="G710" s="55"/>
      <c r="H710" s="12"/>
      <c r="I710" s="12"/>
      <c r="J710" s="12"/>
      <c r="K710" s="12"/>
      <c r="L710" s="12"/>
      <c r="M710" s="12"/>
      <c r="N710" s="12"/>
      <c r="O710" s="12"/>
      <c r="P710" s="12"/>
      <c r="Q710" s="12"/>
      <c r="R710" s="11"/>
      <c r="S710" s="11"/>
      <c r="T710" s="11"/>
      <c r="U710" s="11"/>
      <c r="V710" s="12"/>
      <c r="W710" s="12"/>
      <c r="X710" s="12"/>
      <c r="Y710" s="12"/>
      <c r="Z710" s="12"/>
    </row>
    <row r="711" spans="1:26" x14ac:dyDescent="0.2">
      <c r="A711" s="12"/>
      <c r="B711" s="13"/>
      <c r="C711" s="123"/>
      <c r="D711" s="12"/>
      <c r="E711" s="55"/>
      <c r="F711" s="55"/>
      <c r="G711" s="55"/>
      <c r="H711" s="12"/>
      <c r="I711" s="12"/>
      <c r="J711" s="12"/>
      <c r="K711" s="12"/>
      <c r="L711" s="12"/>
      <c r="M711" s="12"/>
      <c r="N711" s="12"/>
      <c r="O711" s="12"/>
      <c r="P711" s="12"/>
      <c r="Q711" s="12"/>
      <c r="R711" s="11"/>
      <c r="S711" s="11"/>
      <c r="T711" s="11"/>
      <c r="U711" s="11"/>
      <c r="V711" s="12"/>
      <c r="W711" s="12"/>
      <c r="X711" s="12"/>
      <c r="Y711" s="12"/>
      <c r="Z711" s="12"/>
    </row>
    <row r="712" spans="1:26" x14ac:dyDescent="0.2">
      <c r="A712" s="12"/>
      <c r="B712" s="13"/>
      <c r="C712" s="123"/>
      <c r="D712" s="12"/>
      <c r="E712" s="55"/>
      <c r="F712" s="55"/>
      <c r="G712" s="55"/>
      <c r="H712" s="12"/>
      <c r="I712" s="12"/>
      <c r="J712" s="12"/>
      <c r="K712" s="12"/>
      <c r="L712" s="12"/>
      <c r="M712" s="12"/>
      <c r="N712" s="12"/>
      <c r="O712" s="12"/>
      <c r="P712" s="12"/>
      <c r="Q712" s="12"/>
      <c r="R712" s="11"/>
      <c r="S712" s="11"/>
      <c r="T712" s="11"/>
      <c r="U712" s="11"/>
      <c r="V712" s="12"/>
      <c r="W712" s="12"/>
      <c r="X712" s="12"/>
      <c r="Y712" s="12"/>
      <c r="Z712" s="12"/>
    </row>
    <row r="713" spans="1:26" x14ac:dyDescent="0.2">
      <c r="A713" s="12"/>
      <c r="B713" s="13"/>
      <c r="C713" s="123"/>
      <c r="D713" s="12"/>
      <c r="E713" s="55"/>
      <c r="F713" s="55"/>
      <c r="G713" s="55"/>
      <c r="H713" s="12"/>
      <c r="I713" s="12"/>
      <c r="J713" s="12"/>
      <c r="K713" s="12"/>
      <c r="L713" s="12"/>
      <c r="M713" s="12"/>
      <c r="N713" s="12"/>
      <c r="O713" s="12"/>
      <c r="P713" s="12"/>
      <c r="Q713" s="12"/>
      <c r="R713" s="11"/>
      <c r="S713" s="11"/>
      <c r="T713" s="11"/>
      <c r="U713" s="11"/>
      <c r="V713" s="12"/>
      <c r="W713" s="12"/>
      <c r="X713" s="12"/>
      <c r="Y713" s="12"/>
      <c r="Z713" s="12"/>
    </row>
    <row r="714" spans="1:26" x14ac:dyDescent="0.2">
      <c r="A714" s="12"/>
      <c r="B714" s="13"/>
      <c r="C714" s="123"/>
      <c r="D714" s="12"/>
      <c r="E714" s="55"/>
      <c r="F714" s="55"/>
      <c r="G714" s="55"/>
      <c r="H714" s="12"/>
      <c r="I714" s="12"/>
      <c r="J714" s="12"/>
      <c r="K714" s="12"/>
      <c r="L714" s="12"/>
      <c r="M714" s="12"/>
      <c r="N714" s="12"/>
      <c r="O714" s="12"/>
      <c r="P714" s="12"/>
      <c r="Q714" s="12"/>
      <c r="R714" s="11"/>
      <c r="S714" s="11"/>
      <c r="T714" s="11"/>
      <c r="U714" s="11"/>
      <c r="V714" s="12"/>
      <c r="W714" s="12"/>
      <c r="X714" s="12"/>
      <c r="Y714" s="12"/>
      <c r="Z714" s="12"/>
    </row>
    <row r="715" spans="1:26" x14ac:dyDescent="0.2">
      <c r="A715" s="12"/>
      <c r="B715" s="13"/>
      <c r="C715" s="123"/>
      <c r="D715" s="12"/>
      <c r="E715" s="55"/>
      <c r="F715" s="55"/>
      <c r="G715" s="55"/>
      <c r="H715" s="12"/>
      <c r="I715" s="12"/>
      <c r="J715" s="12"/>
      <c r="K715" s="12"/>
      <c r="L715" s="12"/>
      <c r="M715" s="12"/>
      <c r="N715" s="12"/>
      <c r="O715" s="12"/>
      <c r="P715" s="12"/>
      <c r="Q715" s="12"/>
      <c r="R715" s="11"/>
      <c r="S715" s="11"/>
      <c r="T715" s="11"/>
      <c r="U715" s="11"/>
      <c r="V715" s="12"/>
      <c r="W715" s="12"/>
      <c r="X715" s="12"/>
      <c r="Y715" s="12"/>
      <c r="Z715" s="12"/>
    </row>
    <row r="716" spans="1:26" x14ac:dyDescent="0.2">
      <c r="A716" s="12"/>
      <c r="B716" s="13"/>
      <c r="C716" s="123"/>
      <c r="D716" s="12"/>
      <c r="E716" s="55"/>
      <c r="F716" s="55"/>
      <c r="G716" s="55"/>
      <c r="H716" s="12"/>
      <c r="I716" s="12"/>
      <c r="J716" s="12"/>
      <c r="K716" s="12"/>
      <c r="L716" s="12"/>
      <c r="M716" s="12"/>
      <c r="N716" s="12"/>
      <c r="O716" s="12"/>
      <c r="P716" s="12"/>
      <c r="Q716" s="12"/>
      <c r="R716" s="11"/>
      <c r="S716" s="11"/>
      <c r="T716" s="11"/>
      <c r="U716" s="11"/>
      <c r="V716" s="12"/>
      <c r="W716" s="12"/>
      <c r="X716" s="12"/>
      <c r="Y716" s="12"/>
      <c r="Z716" s="12"/>
    </row>
    <row r="717" spans="1:26" x14ac:dyDescent="0.2">
      <c r="A717" s="12"/>
      <c r="B717" s="13"/>
      <c r="C717" s="123"/>
      <c r="D717" s="12"/>
      <c r="E717" s="55"/>
      <c r="F717" s="55"/>
      <c r="G717" s="55"/>
      <c r="H717" s="12"/>
      <c r="I717" s="12"/>
      <c r="J717" s="12"/>
      <c r="K717" s="12"/>
      <c r="L717" s="12"/>
      <c r="M717" s="12"/>
      <c r="N717" s="12"/>
      <c r="O717" s="12"/>
      <c r="P717" s="12"/>
      <c r="Q717" s="12"/>
      <c r="R717" s="11"/>
      <c r="S717" s="11"/>
      <c r="T717" s="11"/>
      <c r="U717" s="11"/>
      <c r="V717" s="12"/>
      <c r="W717" s="12"/>
      <c r="X717" s="12"/>
      <c r="Y717" s="12"/>
      <c r="Z717" s="12"/>
    </row>
    <row r="718" spans="1:26" x14ac:dyDescent="0.2">
      <c r="A718" s="12"/>
      <c r="B718" s="13"/>
      <c r="C718" s="123"/>
      <c r="D718" s="12"/>
      <c r="E718" s="55"/>
      <c r="F718" s="55"/>
      <c r="G718" s="55"/>
      <c r="H718" s="12"/>
      <c r="I718" s="12"/>
      <c r="J718" s="12"/>
      <c r="K718" s="12"/>
      <c r="L718" s="12"/>
      <c r="M718" s="12"/>
      <c r="N718" s="12"/>
      <c r="O718" s="12"/>
      <c r="P718" s="12"/>
      <c r="Q718" s="12"/>
      <c r="R718" s="11"/>
      <c r="S718" s="11"/>
      <c r="T718" s="11"/>
      <c r="U718" s="11"/>
      <c r="V718" s="12"/>
      <c r="W718" s="12"/>
      <c r="X718" s="12"/>
      <c r="Y718" s="12"/>
      <c r="Z718" s="12"/>
    </row>
    <row r="719" spans="1:26" x14ac:dyDescent="0.2">
      <c r="A719" s="12"/>
      <c r="B719" s="13"/>
      <c r="C719" s="123"/>
      <c r="D719" s="12"/>
      <c r="E719" s="55"/>
      <c r="F719" s="55"/>
      <c r="G719" s="55"/>
      <c r="H719" s="12"/>
      <c r="I719" s="12"/>
      <c r="J719" s="12"/>
      <c r="K719" s="12"/>
      <c r="L719" s="12"/>
      <c r="M719" s="12"/>
      <c r="N719" s="12"/>
      <c r="O719" s="12"/>
      <c r="P719" s="12"/>
      <c r="Q719" s="12"/>
      <c r="R719" s="11"/>
      <c r="S719" s="11"/>
      <c r="T719" s="11"/>
      <c r="U719" s="11"/>
      <c r="V719" s="12"/>
      <c r="W719" s="12"/>
      <c r="X719" s="12"/>
      <c r="Y719" s="12"/>
      <c r="Z719" s="12"/>
    </row>
    <row r="720" spans="1:26" x14ac:dyDescent="0.2">
      <c r="A720" s="12"/>
      <c r="B720" s="13"/>
      <c r="C720" s="123"/>
      <c r="D720" s="12"/>
      <c r="E720" s="55"/>
      <c r="F720" s="55"/>
      <c r="G720" s="55"/>
      <c r="H720" s="12"/>
      <c r="I720" s="12"/>
      <c r="J720" s="12"/>
      <c r="K720" s="12"/>
      <c r="L720" s="12"/>
      <c r="M720" s="12"/>
      <c r="N720" s="12"/>
      <c r="O720" s="12"/>
      <c r="P720" s="12"/>
      <c r="Q720" s="12"/>
      <c r="R720" s="11"/>
      <c r="S720" s="11"/>
      <c r="T720" s="11"/>
      <c r="U720" s="11"/>
      <c r="V720" s="12"/>
      <c r="W720" s="12"/>
      <c r="X720" s="12"/>
      <c r="Y720" s="12"/>
      <c r="Z720" s="12"/>
    </row>
    <row r="721" spans="1:26" x14ac:dyDescent="0.2">
      <c r="A721" s="12"/>
      <c r="B721" s="13"/>
      <c r="C721" s="123"/>
      <c r="D721" s="12"/>
      <c r="E721" s="55"/>
      <c r="F721" s="55"/>
      <c r="G721" s="55"/>
      <c r="H721" s="12"/>
      <c r="I721" s="12"/>
      <c r="J721" s="12"/>
      <c r="K721" s="12"/>
      <c r="L721" s="12"/>
      <c r="M721" s="12"/>
      <c r="N721" s="12"/>
      <c r="O721" s="12"/>
      <c r="P721" s="12"/>
      <c r="Q721" s="12"/>
      <c r="R721" s="11"/>
      <c r="S721" s="11"/>
      <c r="T721" s="11"/>
      <c r="U721" s="11"/>
      <c r="V721" s="12"/>
      <c r="W721" s="12"/>
      <c r="X721" s="12"/>
      <c r="Y721" s="12"/>
      <c r="Z721" s="12"/>
    </row>
    <row r="722" spans="1:26" x14ac:dyDescent="0.2">
      <c r="A722" s="12"/>
      <c r="B722" s="13"/>
      <c r="C722" s="123"/>
      <c r="D722" s="12"/>
      <c r="E722" s="55"/>
      <c r="F722" s="55"/>
      <c r="G722" s="55"/>
      <c r="H722" s="12"/>
      <c r="I722" s="12"/>
      <c r="J722" s="12"/>
      <c r="K722" s="12"/>
      <c r="L722" s="12"/>
      <c r="M722" s="12"/>
      <c r="N722" s="12"/>
      <c r="O722" s="12"/>
      <c r="P722" s="12"/>
      <c r="Q722" s="12"/>
      <c r="R722" s="11"/>
      <c r="S722" s="11"/>
      <c r="T722" s="11"/>
      <c r="U722" s="11"/>
      <c r="V722" s="12"/>
      <c r="W722" s="12"/>
      <c r="X722" s="12"/>
      <c r="Y722" s="12"/>
      <c r="Z722" s="12"/>
    </row>
    <row r="723" spans="1:26" x14ac:dyDescent="0.2">
      <c r="A723" s="12"/>
      <c r="B723" s="13"/>
      <c r="C723" s="123"/>
      <c r="D723" s="12"/>
      <c r="E723" s="55"/>
      <c r="F723" s="55"/>
      <c r="G723" s="55"/>
      <c r="H723" s="12"/>
      <c r="I723" s="12"/>
      <c r="J723" s="12"/>
      <c r="K723" s="12"/>
      <c r="L723" s="12"/>
      <c r="M723" s="12"/>
      <c r="N723" s="12"/>
      <c r="O723" s="12"/>
      <c r="P723" s="12"/>
      <c r="Q723" s="12"/>
      <c r="R723" s="11"/>
      <c r="S723" s="11"/>
      <c r="T723" s="11"/>
      <c r="U723" s="11"/>
      <c r="V723" s="12"/>
      <c r="W723" s="12"/>
      <c r="X723" s="12"/>
      <c r="Y723" s="12"/>
      <c r="Z723" s="12"/>
    </row>
    <row r="724" spans="1:26" x14ac:dyDescent="0.2">
      <c r="A724" s="12"/>
      <c r="B724" s="13"/>
      <c r="C724" s="123"/>
      <c r="D724" s="12"/>
      <c r="E724" s="55"/>
      <c r="F724" s="55"/>
      <c r="G724" s="55"/>
      <c r="H724" s="12"/>
      <c r="I724" s="12"/>
      <c r="J724" s="12"/>
      <c r="K724" s="12"/>
      <c r="L724" s="12"/>
      <c r="M724" s="12"/>
      <c r="N724" s="12"/>
      <c r="O724" s="12"/>
      <c r="P724" s="12"/>
      <c r="Q724" s="12"/>
      <c r="R724" s="11"/>
      <c r="S724" s="11"/>
      <c r="T724" s="11"/>
      <c r="U724" s="11"/>
      <c r="V724" s="12"/>
      <c r="W724" s="12"/>
      <c r="X724" s="12"/>
      <c r="Y724" s="12"/>
      <c r="Z724" s="12"/>
    </row>
    <row r="725" spans="1:26" x14ac:dyDescent="0.2">
      <c r="A725" s="12"/>
      <c r="B725" s="13"/>
      <c r="C725" s="123"/>
      <c r="D725" s="12"/>
      <c r="E725" s="55"/>
      <c r="F725" s="55"/>
      <c r="G725" s="55"/>
      <c r="H725" s="12"/>
      <c r="I725" s="12"/>
      <c r="J725" s="12"/>
      <c r="K725" s="12"/>
      <c r="L725" s="12"/>
      <c r="M725" s="12"/>
      <c r="N725" s="12"/>
      <c r="O725" s="12"/>
      <c r="P725" s="12"/>
      <c r="Q725" s="12"/>
      <c r="R725" s="11"/>
      <c r="S725" s="11"/>
      <c r="T725" s="11"/>
      <c r="U725" s="11"/>
      <c r="V725" s="12"/>
      <c r="W725" s="12"/>
      <c r="X725" s="12"/>
      <c r="Y725" s="12"/>
      <c r="Z725" s="12"/>
    </row>
    <row r="726" spans="1:26" x14ac:dyDescent="0.2">
      <c r="A726" s="12"/>
      <c r="B726" s="13"/>
      <c r="C726" s="123"/>
      <c r="D726" s="12"/>
      <c r="E726" s="55"/>
      <c r="F726" s="55"/>
      <c r="G726" s="55"/>
      <c r="H726" s="12"/>
      <c r="I726" s="12"/>
      <c r="J726" s="12"/>
      <c r="K726" s="12"/>
      <c r="L726" s="12"/>
      <c r="M726" s="12"/>
      <c r="N726" s="12"/>
      <c r="O726" s="12"/>
      <c r="P726" s="12"/>
      <c r="Q726" s="12"/>
      <c r="R726" s="11"/>
      <c r="S726" s="11"/>
      <c r="T726" s="11"/>
      <c r="U726" s="11"/>
      <c r="V726" s="12"/>
      <c r="W726" s="12"/>
      <c r="X726" s="12"/>
      <c r="Y726" s="12"/>
      <c r="Z726" s="12"/>
    </row>
    <row r="727" spans="1:26" x14ac:dyDescent="0.2">
      <c r="A727" s="12"/>
      <c r="B727" s="13"/>
      <c r="C727" s="123"/>
      <c r="D727" s="12"/>
      <c r="E727" s="55"/>
      <c r="F727" s="55"/>
      <c r="G727" s="55"/>
      <c r="H727" s="12"/>
      <c r="I727" s="12"/>
      <c r="J727" s="12"/>
      <c r="K727" s="12"/>
      <c r="L727" s="12"/>
      <c r="M727" s="12"/>
      <c r="N727" s="12"/>
      <c r="O727" s="12"/>
      <c r="P727" s="12"/>
      <c r="Q727" s="12"/>
      <c r="R727" s="11"/>
      <c r="S727" s="11"/>
      <c r="T727" s="11"/>
      <c r="U727" s="11"/>
      <c r="V727" s="12"/>
      <c r="W727" s="12"/>
      <c r="X727" s="12"/>
      <c r="Y727" s="12"/>
      <c r="Z727" s="12"/>
    </row>
    <row r="728" spans="1:26" x14ac:dyDescent="0.2">
      <c r="A728" s="12"/>
      <c r="B728" s="13"/>
      <c r="C728" s="123"/>
      <c r="D728" s="12"/>
      <c r="E728" s="55"/>
      <c r="F728" s="55"/>
      <c r="G728" s="55"/>
      <c r="H728" s="12"/>
      <c r="I728" s="12"/>
      <c r="J728" s="12"/>
      <c r="K728" s="12"/>
      <c r="L728" s="12"/>
      <c r="M728" s="12"/>
      <c r="N728" s="12"/>
      <c r="O728" s="12"/>
      <c r="P728" s="12"/>
      <c r="Q728" s="12"/>
      <c r="R728" s="11"/>
      <c r="S728" s="11"/>
      <c r="T728" s="11"/>
      <c r="U728" s="11"/>
      <c r="V728" s="12"/>
      <c r="W728" s="12"/>
      <c r="X728" s="12"/>
      <c r="Y728" s="12"/>
      <c r="Z728" s="12"/>
    </row>
    <row r="729" spans="1:26" x14ac:dyDescent="0.2">
      <c r="A729" s="12"/>
      <c r="B729" s="13"/>
      <c r="C729" s="123"/>
      <c r="D729" s="12"/>
      <c r="E729" s="55"/>
      <c r="F729" s="55"/>
      <c r="G729" s="55"/>
      <c r="H729" s="12"/>
      <c r="I729" s="12"/>
      <c r="J729" s="12"/>
      <c r="K729" s="12"/>
      <c r="L729" s="12"/>
      <c r="M729" s="12"/>
      <c r="N729" s="12"/>
      <c r="O729" s="12"/>
      <c r="P729" s="12"/>
      <c r="Q729" s="12"/>
      <c r="R729" s="11"/>
      <c r="S729" s="11"/>
      <c r="T729" s="11"/>
      <c r="U729" s="11"/>
      <c r="V729" s="12"/>
      <c r="W729" s="12"/>
      <c r="X729" s="12"/>
      <c r="Y729" s="12"/>
      <c r="Z729" s="12"/>
    </row>
    <row r="730" spans="1:26" x14ac:dyDescent="0.2">
      <c r="A730" s="12"/>
      <c r="B730" s="13"/>
      <c r="C730" s="123"/>
      <c r="D730" s="12"/>
      <c r="E730" s="55"/>
      <c r="F730" s="55"/>
      <c r="G730" s="55"/>
      <c r="H730" s="12"/>
      <c r="I730" s="12"/>
      <c r="J730" s="12"/>
      <c r="K730" s="12"/>
      <c r="L730" s="12"/>
      <c r="M730" s="12"/>
      <c r="N730" s="12"/>
      <c r="O730" s="12"/>
      <c r="P730" s="12"/>
      <c r="Q730" s="12"/>
      <c r="R730" s="11"/>
      <c r="S730" s="11"/>
      <c r="T730" s="11"/>
      <c r="U730" s="11"/>
      <c r="V730" s="12"/>
      <c r="W730" s="12"/>
      <c r="X730" s="12"/>
      <c r="Y730" s="12"/>
      <c r="Z730" s="12"/>
    </row>
    <row r="731" spans="1:26" x14ac:dyDescent="0.2">
      <c r="A731" s="12"/>
      <c r="B731" s="13"/>
      <c r="C731" s="123"/>
      <c r="D731" s="12"/>
      <c r="E731" s="55"/>
      <c r="F731" s="55"/>
      <c r="G731" s="55"/>
      <c r="H731" s="12"/>
      <c r="I731" s="12"/>
      <c r="J731" s="12"/>
      <c r="K731" s="12"/>
      <c r="L731" s="12"/>
      <c r="M731" s="12"/>
      <c r="N731" s="12"/>
      <c r="O731" s="12"/>
      <c r="P731" s="12"/>
      <c r="Q731" s="12"/>
      <c r="R731" s="11"/>
      <c r="S731" s="11"/>
      <c r="T731" s="11"/>
      <c r="U731" s="11"/>
      <c r="V731" s="12"/>
      <c r="W731" s="12"/>
      <c r="X731" s="12"/>
      <c r="Y731" s="12"/>
      <c r="Z731" s="12"/>
    </row>
    <row r="732" spans="1:26" x14ac:dyDescent="0.2">
      <c r="A732" s="12"/>
      <c r="B732" s="13"/>
      <c r="C732" s="123"/>
      <c r="D732" s="12"/>
      <c r="E732" s="55"/>
      <c r="F732" s="55"/>
      <c r="G732" s="55"/>
      <c r="H732" s="12"/>
      <c r="I732" s="12"/>
      <c r="J732" s="12"/>
      <c r="K732" s="12"/>
      <c r="L732" s="12"/>
      <c r="M732" s="12"/>
      <c r="N732" s="12"/>
      <c r="O732" s="12"/>
      <c r="P732" s="12"/>
      <c r="Q732" s="12"/>
      <c r="R732" s="11"/>
      <c r="S732" s="11"/>
      <c r="T732" s="11"/>
      <c r="U732" s="11"/>
      <c r="V732" s="12"/>
      <c r="W732" s="12"/>
      <c r="X732" s="12"/>
      <c r="Y732" s="12"/>
      <c r="Z732" s="12"/>
    </row>
    <row r="733" spans="1:26" x14ac:dyDescent="0.2">
      <c r="A733" s="12"/>
      <c r="B733" s="13"/>
      <c r="C733" s="123"/>
      <c r="D733" s="12"/>
      <c r="E733" s="55"/>
      <c r="F733" s="55"/>
      <c r="G733" s="55"/>
      <c r="H733" s="12"/>
      <c r="I733" s="12"/>
      <c r="J733" s="12"/>
      <c r="K733" s="12"/>
      <c r="L733" s="12"/>
      <c r="M733" s="12"/>
      <c r="N733" s="12"/>
      <c r="O733" s="12"/>
      <c r="P733" s="12"/>
      <c r="Q733" s="12"/>
      <c r="R733" s="11"/>
      <c r="S733" s="11"/>
      <c r="T733" s="11"/>
      <c r="U733" s="11"/>
      <c r="V733" s="12"/>
      <c r="W733" s="12"/>
      <c r="X733" s="12"/>
      <c r="Y733" s="12"/>
      <c r="Z733" s="12"/>
    </row>
    <row r="734" spans="1:26" x14ac:dyDescent="0.2">
      <c r="A734" s="12"/>
      <c r="B734" s="13"/>
      <c r="C734" s="123"/>
      <c r="D734" s="12"/>
      <c r="E734" s="55"/>
      <c r="F734" s="55"/>
      <c r="G734" s="55"/>
      <c r="H734" s="12"/>
      <c r="I734" s="12"/>
      <c r="J734" s="12"/>
      <c r="K734" s="12"/>
      <c r="L734" s="12"/>
      <c r="M734" s="12"/>
      <c r="N734" s="12"/>
      <c r="O734" s="12"/>
      <c r="P734" s="12"/>
      <c r="Q734" s="12"/>
      <c r="R734" s="11"/>
      <c r="S734" s="11"/>
      <c r="T734" s="11"/>
      <c r="U734" s="11"/>
      <c r="V734" s="12"/>
      <c r="W734" s="12"/>
      <c r="X734" s="12"/>
      <c r="Y734" s="12"/>
      <c r="Z734" s="12"/>
    </row>
    <row r="735" spans="1:26" x14ac:dyDescent="0.2">
      <c r="A735" s="12"/>
      <c r="B735" s="13"/>
      <c r="C735" s="123"/>
      <c r="D735" s="12"/>
      <c r="E735" s="55"/>
      <c r="F735" s="55"/>
      <c r="G735" s="55"/>
      <c r="H735" s="12"/>
      <c r="I735" s="12"/>
      <c r="J735" s="12"/>
      <c r="K735" s="12"/>
      <c r="L735" s="12"/>
      <c r="M735" s="12"/>
      <c r="N735" s="12"/>
      <c r="O735" s="12"/>
      <c r="P735" s="12"/>
      <c r="Q735" s="12"/>
      <c r="R735" s="11"/>
      <c r="S735" s="11"/>
      <c r="T735" s="11"/>
      <c r="U735" s="11"/>
      <c r="V735" s="12"/>
      <c r="W735" s="12"/>
      <c r="X735" s="12"/>
      <c r="Y735" s="12"/>
      <c r="Z735" s="12"/>
    </row>
    <row r="736" spans="1:26" x14ac:dyDescent="0.2">
      <c r="A736" s="12"/>
      <c r="B736" s="13"/>
      <c r="C736" s="123"/>
      <c r="D736" s="12"/>
      <c r="E736" s="55"/>
      <c r="F736" s="55"/>
      <c r="G736" s="55"/>
      <c r="H736" s="12"/>
      <c r="I736" s="12"/>
      <c r="J736" s="12"/>
      <c r="K736" s="12"/>
      <c r="L736" s="12"/>
      <c r="M736" s="12"/>
      <c r="N736" s="12"/>
      <c r="O736" s="12"/>
      <c r="P736" s="12"/>
      <c r="Q736" s="12"/>
      <c r="R736" s="11"/>
      <c r="S736" s="11"/>
      <c r="T736" s="11"/>
      <c r="U736" s="11"/>
      <c r="V736" s="12"/>
      <c r="W736" s="12"/>
      <c r="X736" s="12"/>
      <c r="Y736" s="12"/>
      <c r="Z736" s="12"/>
    </row>
    <row r="737" spans="1:26" x14ac:dyDescent="0.2">
      <c r="A737" s="12"/>
      <c r="B737" s="13"/>
      <c r="C737" s="123"/>
      <c r="D737" s="12"/>
      <c r="E737" s="55"/>
      <c r="F737" s="55"/>
      <c r="G737" s="55"/>
      <c r="H737" s="12"/>
      <c r="I737" s="12"/>
      <c r="J737" s="12"/>
      <c r="K737" s="12"/>
      <c r="L737" s="12"/>
      <c r="M737" s="12"/>
      <c r="N737" s="12"/>
      <c r="O737" s="12"/>
      <c r="P737" s="12"/>
      <c r="Q737" s="12"/>
      <c r="R737" s="11"/>
      <c r="S737" s="11"/>
      <c r="T737" s="11"/>
      <c r="U737" s="11"/>
      <c r="V737" s="12"/>
      <c r="W737" s="12"/>
      <c r="X737" s="12"/>
      <c r="Y737" s="12"/>
      <c r="Z737" s="12"/>
    </row>
    <row r="738" spans="1:26" x14ac:dyDescent="0.2">
      <c r="A738" s="12"/>
      <c r="B738" s="13"/>
      <c r="C738" s="123"/>
      <c r="D738" s="12"/>
      <c r="E738" s="55"/>
      <c r="F738" s="55"/>
      <c r="G738" s="55"/>
      <c r="H738" s="12"/>
      <c r="I738" s="12"/>
      <c r="J738" s="12"/>
      <c r="K738" s="12"/>
      <c r="L738" s="12"/>
      <c r="M738" s="12"/>
      <c r="N738" s="12"/>
      <c r="O738" s="12"/>
      <c r="P738" s="12"/>
      <c r="Q738" s="12"/>
      <c r="R738" s="11"/>
      <c r="S738" s="11"/>
      <c r="T738" s="11"/>
      <c r="U738" s="11"/>
      <c r="V738" s="12"/>
      <c r="W738" s="12"/>
      <c r="X738" s="12"/>
      <c r="Y738" s="12"/>
      <c r="Z738" s="12"/>
    </row>
    <row r="739" spans="1:26" x14ac:dyDescent="0.2">
      <c r="A739" s="12"/>
      <c r="B739" s="13"/>
      <c r="C739" s="123"/>
      <c r="D739" s="12"/>
      <c r="E739" s="55"/>
      <c r="F739" s="55"/>
      <c r="G739" s="55"/>
      <c r="H739" s="12"/>
      <c r="I739" s="12"/>
      <c r="J739" s="12"/>
      <c r="K739" s="12"/>
      <c r="L739" s="12"/>
      <c r="M739" s="12"/>
      <c r="N739" s="12"/>
      <c r="O739" s="12"/>
      <c r="P739" s="12"/>
      <c r="Q739" s="12"/>
      <c r="R739" s="11"/>
      <c r="S739" s="11"/>
      <c r="T739" s="11"/>
      <c r="U739" s="11"/>
      <c r="V739" s="12"/>
      <c r="W739" s="12"/>
      <c r="X739" s="12"/>
      <c r="Y739" s="12"/>
      <c r="Z739" s="12"/>
    </row>
    <row r="740" spans="1:26" x14ac:dyDescent="0.2">
      <c r="A740" s="12"/>
      <c r="B740" s="13"/>
      <c r="C740" s="123"/>
      <c r="D740" s="12"/>
      <c r="E740" s="55"/>
      <c r="F740" s="55"/>
      <c r="G740" s="55"/>
      <c r="H740" s="12"/>
      <c r="I740" s="12"/>
      <c r="J740" s="12"/>
      <c r="K740" s="12"/>
      <c r="L740" s="12"/>
      <c r="M740" s="12"/>
      <c r="N740" s="12"/>
      <c r="O740" s="12"/>
      <c r="P740" s="12"/>
      <c r="Q740" s="12"/>
      <c r="R740" s="11"/>
      <c r="S740" s="11"/>
      <c r="T740" s="11"/>
      <c r="U740" s="11"/>
      <c r="V740" s="12"/>
      <c r="W740" s="12"/>
      <c r="X740" s="12"/>
      <c r="Y740" s="12"/>
      <c r="Z740" s="12"/>
    </row>
    <row r="741" spans="1:26" x14ac:dyDescent="0.2">
      <c r="A741" s="12"/>
      <c r="B741" s="13"/>
      <c r="C741" s="123"/>
      <c r="D741" s="12"/>
      <c r="E741" s="55"/>
      <c r="F741" s="55"/>
      <c r="G741" s="55"/>
      <c r="H741" s="12"/>
      <c r="I741" s="12"/>
      <c r="J741" s="12"/>
      <c r="K741" s="12"/>
      <c r="L741" s="12"/>
      <c r="M741" s="12"/>
      <c r="N741" s="12"/>
      <c r="O741" s="12"/>
      <c r="P741" s="12"/>
      <c r="Q741" s="12"/>
      <c r="R741" s="11"/>
      <c r="S741" s="11"/>
      <c r="T741" s="11"/>
      <c r="U741" s="11"/>
      <c r="V741" s="12"/>
      <c r="W741" s="12"/>
      <c r="X741" s="12"/>
      <c r="Y741" s="12"/>
      <c r="Z741" s="12"/>
    </row>
    <row r="742" spans="1:26" x14ac:dyDescent="0.2">
      <c r="A742" s="12"/>
      <c r="B742" s="13"/>
      <c r="C742" s="123"/>
      <c r="D742" s="12"/>
      <c r="E742" s="55"/>
      <c r="F742" s="55"/>
      <c r="G742" s="55"/>
      <c r="H742" s="12"/>
      <c r="I742" s="12"/>
      <c r="J742" s="12"/>
      <c r="K742" s="12"/>
      <c r="L742" s="12"/>
      <c r="M742" s="12"/>
      <c r="N742" s="12"/>
      <c r="O742" s="12"/>
      <c r="P742" s="12"/>
      <c r="Q742" s="12"/>
      <c r="R742" s="11"/>
      <c r="S742" s="11"/>
      <c r="T742" s="11"/>
      <c r="U742" s="11"/>
      <c r="V742" s="12"/>
      <c r="W742" s="12"/>
      <c r="X742" s="12"/>
      <c r="Y742" s="12"/>
      <c r="Z742" s="12"/>
    </row>
    <row r="743" spans="1:26" x14ac:dyDescent="0.2">
      <c r="A743" s="12"/>
      <c r="B743" s="13"/>
      <c r="C743" s="123"/>
      <c r="D743" s="12"/>
      <c r="E743" s="55"/>
      <c r="F743" s="55"/>
      <c r="G743" s="55"/>
      <c r="H743" s="12"/>
      <c r="I743" s="12"/>
      <c r="J743" s="12"/>
      <c r="K743" s="12"/>
      <c r="L743" s="12"/>
      <c r="M743" s="12"/>
      <c r="N743" s="12"/>
      <c r="O743" s="12"/>
      <c r="P743" s="12"/>
      <c r="Q743" s="12"/>
      <c r="R743" s="11"/>
      <c r="S743" s="11"/>
      <c r="T743" s="11"/>
      <c r="U743" s="11"/>
      <c r="V743" s="12"/>
      <c r="W743" s="12"/>
      <c r="X743" s="12"/>
      <c r="Y743" s="12"/>
      <c r="Z743" s="12"/>
    </row>
    <row r="744" spans="1:26" x14ac:dyDescent="0.2">
      <c r="A744" s="12"/>
      <c r="B744" s="13"/>
      <c r="C744" s="123"/>
      <c r="D744" s="12"/>
      <c r="E744" s="55"/>
      <c r="F744" s="55"/>
      <c r="G744" s="55"/>
      <c r="H744" s="12"/>
      <c r="I744" s="12"/>
      <c r="J744" s="12"/>
      <c r="K744" s="12"/>
      <c r="L744" s="12"/>
      <c r="M744" s="12"/>
      <c r="N744" s="12"/>
      <c r="O744" s="12"/>
      <c r="P744" s="12"/>
      <c r="Q744" s="12"/>
      <c r="R744" s="11"/>
      <c r="S744" s="11"/>
      <c r="T744" s="11"/>
      <c r="U744" s="11"/>
      <c r="V744" s="12"/>
      <c r="W744" s="12"/>
      <c r="X744" s="12"/>
      <c r="Y744" s="12"/>
      <c r="Z744" s="12"/>
    </row>
    <row r="745" spans="1:26" x14ac:dyDescent="0.2">
      <c r="A745" s="12"/>
      <c r="B745" s="13"/>
      <c r="C745" s="123"/>
      <c r="D745" s="12"/>
      <c r="E745" s="55"/>
      <c r="F745" s="55"/>
      <c r="G745" s="55"/>
      <c r="H745" s="12"/>
      <c r="I745" s="12"/>
      <c r="J745" s="12"/>
      <c r="K745" s="12"/>
      <c r="L745" s="12"/>
      <c r="M745" s="12"/>
      <c r="N745" s="12"/>
      <c r="O745" s="12"/>
      <c r="P745" s="12"/>
      <c r="Q745" s="12"/>
      <c r="R745" s="11"/>
      <c r="S745" s="11"/>
      <c r="T745" s="11"/>
      <c r="U745" s="11"/>
      <c r="V745" s="12"/>
      <c r="W745" s="12"/>
      <c r="X745" s="12"/>
      <c r="Y745" s="12"/>
      <c r="Z745" s="12"/>
    </row>
    <row r="746" spans="1:26" x14ac:dyDescent="0.2">
      <c r="A746" s="12"/>
      <c r="B746" s="13"/>
      <c r="C746" s="123"/>
      <c r="D746" s="12"/>
      <c r="E746" s="55"/>
      <c r="F746" s="55"/>
      <c r="G746" s="55"/>
      <c r="H746" s="12"/>
      <c r="I746" s="12"/>
      <c r="J746" s="12"/>
      <c r="K746" s="12"/>
      <c r="L746" s="12"/>
      <c r="M746" s="12"/>
      <c r="N746" s="12"/>
      <c r="O746" s="12"/>
      <c r="P746" s="12"/>
      <c r="Q746" s="12"/>
      <c r="R746" s="11"/>
      <c r="S746" s="11"/>
      <c r="T746" s="11"/>
      <c r="U746" s="11"/>
      <c r="V746" s="12"/>
      <c r="W746" s="12"/>
      <c r="X746" s="12"/>
      <c r="Y746" s="12"/>
      <c r="Z746" s="12"/>
    </row>
    <row r="747" spans="1:26" x14ac:dyDescent="0.2">
      <c r="A747" s="12"/>
      <c r="B747" s="13"/>
      <c r="C747" s="123"/>
      <c r="D747" s="12"/>
      <c r="E747" s="55"/>
      <c r="F747" s="55"/>
      <c r="G747" s="55"/>
      <c r="H747" s="12"/>
      <c r="I747" s="12"/>
      <c r="J747" s="12"/>
      <c r="K747" s="12"/>
      <c r="L747" s="12"/>
      <c r="M747" s="12"/>
      <c r="N747" s="12"/>
      <c r="O747" s="12"/>
      <c r="P747" s="12"/>
      <c r="Q747" s="12"/>
      <c r="R747" s="11"/>
      <c r="S747" s="11"/>
      <c r="T747" s="11"/>
      <c r="U747" s="11"/>
      <c r="V747" s="12"/>
      <c r="W747" s="12"/>
      <c r="X747" s="12"/>
      <c r="Y747" s="12"/>
      <c r="Z747" s="12"/>
    </row>
    <row r="748" spans="1:26" x14ac:dyDescent="0.2">
      <c r="A748" s="12"/>
      <c r="B748" s="13"/>
      <c r="C748" s="123"/>
      <c r="D748" s="12"/>
      <c r="E748" s="55"/>
      <c r="F748" s="55"/>
      <c r="G748" s="55"/>
      <c r="H748" s="12"/>
      <c r="I748" s="12"/>
      <c r="J748" s="12"/>
      <c r="K748" s="12"/>
      <c r="L748" s="12"/>
      <c r="M748" s="12"/>
      <c r="N748" s="12"/>
      <c r="O748" s="12"/>
      <c r="P748" s="12"/>
      <c r="Q748" s="12"/>
      <c r="R748" s="11"/>
      <c r="S748" s="11"/>
      <c r="T748" s="11"/>
      <c r="U748" s="11"/>
      <c r="V748" s="12"/>
      <c r="W748" s="12"/>
      <c r="X748" s="12"/>
      <c r="Y748" s="12"/>
      <c r="Z748" s="12"/>
    </row>
    <row r="749" spans="1:26" x14ac:dyDescent="0.2">
      <c r="A749" s="12"/>
      <c r="B749" s="13"/>
      <c r="C749" s="123"/>
      <c r="D749" s="12"/>
      <c r="E749" s="55"/>
      <c r="F749" s="55"/>
      <c r="G749" s="55"/>
      <c r="H749" s="12"/>
      <c r="I749" s="12"/>
      <c r="J749" s="12"/>
      <c r="K749" s="12"/>
      <c r="L749" s="12"/>
      <c r="M749" s="12"/>
      <c r="N749" s="12"/>
      <c r="O749" s="12"/>
      <c r="P749" s="12"/>
      <c r="Q749" s="12"/>
      <c r="R749" s="11"/>
      <c r="S749" s="11"/>
      <c r="T749" s="11"/>
      <c r="U749" s="11"/>
      <c r="V749" s="12"/>
      <c r="W749" s="12"/>
      <c r="X749" s="12"/>
      <c r="Y749" s="12"/>
      <c r="Z749" s="12"/>
    </row>
    <row r="750" spans="1:26" x14ac:dyDescent="0.2">
      <c r="A750" s="12"/>
      <c r="B750" s="13"/>
      <c r="C750" s="123"/>
      <c r="D750" s="12"/>
      <c r="E750" s="55"/>
      <c r="F750" s="55"/>
      <c r="G750" s="55"/>
      <c r="H750" s="12"/>
      <c r="I750" s="12"/>
      <c r="J750" s="12"/>
      <c r="K750" s="12"/>
      <c r="L750" s="12"/>
      <c r="M750" s="12"/>
      <c r="N750" s="12"/>
      <c r="O750" s="12"/>
      <c r="P750" s="12"/>
      <c r="Q750" s="12"/>
      <c r="R750" s="11"/>
      <c r="S750" s="11"/>
      <c r="T750" s="11"/>
      <c r="U750" s="11"/>
      <c r="V750" s="12"/>
      <c r="W750" s="12"/>
      <c r="X750" s="12"/>
      <c r="Y750" s="12"/>
      <c r="Z750" s="12"/>
    </row>
    <row r="751" spans="1:26" x14ac:dyDescent="0.2">
      <c r="A751" s="12"/>
      <c r="B751" s="13"/>
      <c r="C751" s="123"/>
      <c r="D751" s="12"/>
      <c r="E751" s="55"/>
      <c r="F751" s="55"/>
      <c r="G751" s="55"/>
      <c r="H751" s="12"/>
      <c r="I751" s="12"/>
      <c r="J751" s="12"/>
      <c r="K751" s="12"/>
      <c r="L751" s="12"/>
      <c r="M751" s="12"/>
      <c r="N751" s="12"/>
      <c r="O751" s="12"/>
      <c r="P751" s="12"/>
      <c r="Q751" s="12"/>
      <c r="R751" s="11"/>
      <c r="S751" s="11"/>
      <c r="T751" s="11"/>
      <c r="U751" s="11"/>
      <c r="V751" s="12"/>
      <c r="W751" s="12"/>
      <c r="X751" s="12"/>
      <c r="Y751" s="12"/>
      <c r="Z751" s="12"/>
    </row>
    <row r="752" spans="1:26" x14ac:dyDescent="0.2">
      <c r="A752" s="12"/>
      <c r="B752" s="13"/>
      <c r="C752" s="123"/>
      <c r="D752" s="12"/>
      <c r="E752" s="55"/>
      <c r="F752" s="55"/>
      <c r="G752" s="55"/>
      <c r="H752" s="12"/>
      <c r="I752" s="12"/>
      <c r="J752" s="12"/>
      <c r="K752" s="12"/>
      <c r="L752" s="12"/>
      <c r="M752" s="12"/>
      <c r="N752" s="12"/>
      <c r="O752" s="12"/>
      <c r="P752" s="12"/>
      <c r="Q752" s="12"/>
      <c r="R752" s="11"/>
      <c r="S752" s="11"/>
      <c r="T752" s="11"/>
      <c r="U752" s="11"/>
      <c r="V752" s="12"/>
      <c r="W752" s="12"/>
      <c r="X752" s="12"/>
      <c r="Y752" s="12"/>
      <c r="Z752" s="12"/>
    </row>
    <row r="753" spans="1:26" x14ac:dyDescent="0.2">
      <c r="A753" s="12"/>
      <c r="B753" s="13"/>
      <c r="C753" s="123"/>
      <c r="D753" s="12"/>
      <c r="E753" s="55"/>
      <c r="F753" s="55"/>
      <c r="G753" s="55"/>
      <c r="H753" s="12"/>
      <c r="I753" s="12"/>
      <c r="J753" s="12"/>
      <c r="K753" s="12"/>
      <c r="L753" s="12"/>
      <c r="M753" s="12"/>
      <c r="N753" s="12"/>
      <c r="O753" s="12"/>
      <c r="P753" s="12"/>
      <c r="Q753" s="12"/>
      <c r="R753" s="11"/>
      <c r="S753" s="11"/>
      <c r="T753" s="11"/>
      <c r="U753" s="11"/>
      <c r="V753" s="12"/>
      <c r="W753" s="12"/>
      <c r="X753" s="12"/>
      <c r="Y753" s="12"/>
      <c r="Z753" s="12"/>
    </row>
    <row r="754" spans="1:26" x14ac:dyDescent="0.2">
      <c r="A754" s="12"/>
      <c r="B754" s="13"/>
      <c r="C754" s="123"/>
      <c r="D754" s="12"/>
      <c r="E754" s="55"/>
      <c r="F754" s="55"/>
      <c r="G754" s="55"/>
      <c r="H754" s="12"/>
      <c r="I754" s="12"/>
      <c r="J754" s="12"/>
      <c r="K754" s="12"/>
      <c r="L754" s="12"/>
      <c r="M754" s="12"/>
      <c r="N754" s="12"/>
      <c r="O754" s="12"/>
      <c r="P754" s="12"/>
      <c r="Q754" s="12"/>
      <c r="R754" s="11"/>
      <c r="S754" s="11"/>
      <c r="T754" s="11"/>
      <c r="U754" s="11"/>
      <c r="V754" s="12"/>
      <c r="W754" s="12"/>
      <c r="X754" s="12"/>
      <c r="Y754" s="12"/>
      <c r="Z754" s="12"/>
    </row>
    <row r="755" spans="1:26" x14ac:dyDescent="0.2">
      <c r="A755" s="12"/>
      <c r="B755" s="13"/>
      <c r="C755" s="123"/>
      <c r="D755" s="12"/>
      <c r="E755" s="55"/>
      <c r="F755" s="55"/>
      <c r="G755" s="55"/>
      <c r="H755" s="12"/>
      <c r="I755" s="12"/>
      <c r="J755" s="12"/>
      <c r="K755" s="12"/>
      <c r="L755" s="12"/>
      <c r="M755" s="12"/>
      <c r="N755" s="12"/>
      <c r="O755" s="12"/>
      <c r="P755" s="12"/>
      <c r="Q755" s="12"/>
      <c r="R755" s="11"/>
      <c r="S755" s="11"/>
      <c r="T755" s="11"/>
      <c r="U755" s="11"/>
      <c r="V755" s="12"/>
      <c r="W755" s="12"/>
      <c r="X755" s="12"/>
      <c r="Y755" s="12"/>
      <c r="Z755" s="12"/>
    </row>
    <row r="756" spans="1:26" x14ac:dyDescent="0.2">
      <c r="A756" s="12"/>
      <c r="B756" s="13"/>
      <c r="C756" s="123"/>
      <c r="D756" s="12"/>
      <c r="E756" s="55"/>
      <c r="F756" s="55"/>
      <c r="G756" s="55"/>
      <c r="H756" s="12"/>
      <c r="I756" s="12"/>
      <c r="J756" s="12"/>
      <c r="K756" s="12"/>
      <c r="L756" s="12"/>
      <c r="M756" s="12"/>
      <c r="N756" s="12"/>
      <c r="O756" s="12"/>
      <c r="P756" s="12"/>
      <c r="Q756" s="12"/>
      <c r="R756" s="11"/>
      <c r="S756" s="11"/>
      <c r="T756" s="11"/>
      <c r="U756" s="11"/>
      <c r="V756" s="12"/>
      <c r="W756" s="12"/>
      <c r="X756" s="12"/>
      <c r="Y756" s="12"/>
      <c r="Z756" s="12"/>
    </row>
    <row r="757" spans="1:26" x14ac:dyDescent="0.2">
      <c r="A757" s="12"/>
      <c r="B757" s="13"/>
      <c r="C757" s="123"/>
      <c r="D757" s="12"/>
      <c r="E757" s="55"/>
      <c r="F757" s="55"/>
      <c r="G757" s="55"/>
      <c r="H757" s="12"/>
      <c r="I757" s="12"/>
      <c r="J757" s="12"/>
      <c r="K757" s="12"/>
      <c r="L757" s="12"/>
      <c r="M757" s="12"/>
      <c r="N757" s="12"/>
      <c r="O757" s="12"/>
      <c r="P757" s="12"/>
      <c r="Q757" s="12"/>
      <c r="R757" s="11"/>
      <c r="S757" s="11"/>
      <c r="T757" s="11"/>
      <c r="U757" s="11"/>
      <c r="V757" s="12"/>
      <c r="W757" s="12"/>
      <c r="X757" s="12"/>
      <c r="Y757" s="12"/>
      <c r="Z757" s="12"/>
    </row>
    <row r="758" spans="1:26" x14ac:dyDescent="0.2">
      <c r="A758" s="12"/>
      <c r="B758" s="13"/>
      <c r="C758" s="123"/>
      <c r="D758" s="12"/>
      <c r="E758" s="55"/>
      <c r="F758" s="55"/>
      <c r="G758" s="55"/>
      <c r="H758" s="12"/>
      <c r="I758" s="12"/>
      <c r="J758" s="12"/>
      <c r="K758" s="12"/>
      <c r="L758" s="12"/>
      <c r="M758" s="12"/>
      <c r="N758" s="12"/>
      <c r="O758" s="12"/>
      <c r="P758" s="12"/>
      <c r="Q758" s="12"/>
      <c r="R758" s="11"/>
      <c r="S758" s="11"/>
      <c r="T758" s="11"/>
      <c r="U758" s="11"/>
      <c r="V758" s="12"/>
      <c r="W758" s="12"/>
      <c r="X758" s="12"/>
      <c r="Y758" s="12"/>
      <c r="Z758" s="12"/>
    </row>
    <row r="759" spans="1:26" x14ac:dyDescent="0.2">
      <c r="A759" s="12"/>
      <c r="B759" s="13"/>
      <c r="C759" s="123"/>
      <c r="D759" s="12"/>
      <c r="E759" s="55"/>
      <c r="F759" s="55"/>
      <c r="G759" s="55"/>
      <c r="H759" s="12"/>
      <c r="I759" s="12"/>
      <c r="J759" s="12"/>
      <c r="K759" s="12"/>
      <c r="L759" s="12"/>
      <c r="M759" s="12"/>
      <c r="N759" s="12"/>
      <c r="O759" s="12"/>
      <c r="P759" s="12"/>
      <c r="Q759" s="12"/>
      <c r="R759" s="11"/>
      <c r="S759" s="11"/>
      <c r="T759" s="11"/>
      <c r="U759" s="11"/>
      <c r="V759" s="12"/>
      <c r="W759" s="12"/>
      <c r="X759" s="12"/>
      <c r="Y759" s="12"/>
      <c r="Z759" s="12"/>
    </row>
    <row r="760" spans="1:26" x14ac:dyDescent="0.2">
      <c r="A760" s="12"/>
      <c r="B760" s="13"/>
      <c r="C760" s="123"/>
      <c r="D760" s="12"/>
      <c r="E760" s="55"/>
      <c r="F760" s="55"/>
      <c r="G760" s="55"/>
      <c r="H760" s="12"/>
      <c r="I760" s="12"/>
      <c r="J760" s="12"/>
      <c r="K760" s="12"/>
      <c r="L760" s="12"/>
      <c r="M760" s="12"/>
      <c r="N760" s="12"/>
      <c r="O760" s="12"/>
      <c r="P760" s="12"/>
      <c r="Q760" s="12"/>
      <c r="R760" s="11"/>
      <c r="S760" s="11"/>
      <c r="T760" s="11"/>
      <c r="U760" s="11"/>
      <c r="V760" s="12"/>
      <c r="W760" s="12"/>
      <c r="X760" s="12"/>
      <c r="Y760" s="12"/>
      <c r="Z760" s="12"/>
    </row>
    <row r="761" spans="1:26" x14ac:dyDescent="0.2">
      <c r="A761" s="12"/>
      <c r="B761" s="13"/>
      <c r="C761" s="123"/>
      <c r="D761" s="12"/>
      <c r="E761" s="55"/>
      <c r="F761" s="55"/>
      <c r="G761" s="55"/>
      <c r="H761" s="12"/>
      <c r="I761" s="12"/>
      <c r="J761" s="12"/>
      <c r="K761" s="12"/>
      <c r="L761" s="12"/>
      <c r="M761" s="12"/>
      <c r="N761" s="12"/>
      <c r="O761" s="12"/>
      <c r="P761" s="12"/>
      <c r="Q761" s="12"/>
      <c r="R761" s="11"/>
      <c r="S761" s="11"/>
      <c r="T761" s="11"/>
      <c r="U761" s="11"/>
      <c r="V761" s="12"/>
      <c r="W761" s="12"/>
      <c r="X761" s="12"/>
      <c r="Y761" s="12"/>
      <c r="Z761" s="12"/>
    </row>
    <row r="762" spans="1:26" x14ac:dyDescent="0.2">
      <c r="A762" s="12"/>
      <c r="B762" s="13"/>
      <c r="C762" s="123"/>
      <c r="D762" s="12"/>
      <c r="E762" s="55"/>
      <c r="F762" s="55"/>
      <c r="G762" s="55"/>
      <c r="H762" s="12"/>
      <c r="I762" s="12"/>
      <c r="J762" s="12"/>
      <c r="K762" s="12"/>
      <c r="L762" s="12"/>
      <c r="M762" s="12"/>
      <c r="N762" s="12"/>
      <c r="O762" s="12"/>
      <c r="P762" s="12"/>
      <c r="Q762" s="12"/>
      <c r="R762" s="11"/>
      <c r="S762" s="11"/>
      <c r="T762" s="11"/>
      <c r="U762" s="11"/>
      <c r="V762" s="12"/>
      <c r="W762" s="12"/>
      <c r="X762" s="12"/>
      <c r="Y762" s="12"/>
      <c r="Z762" s="12"/>
    </row>
    <row r="763" spans="1:26" x14ac:dyDescent="0.2">
      <c r="A763" s="12"/>
      <c r="B763" s="13"/>
      <c r="C763" s="123"/>
      <c r="D763" s="12"/>
      <c r="E763" s="55"/>
      <c r="F763" s="55"/>
      <c r="G763" s="55"/>
      <c r="H763" s="12"/>
      <c r="I763" s="12"/>
      <c r="J763" s="12"/>
      <c r="K763" s="12"/>
      <c r="L763" s="12"/>
      <c r="M763" s="12"/>
      <c r="N763" s="12"/>
      <c r="O763" s="12"/>
      <c r="P763" s="12"/>
      <c r="Q763" s="12"/>
      <c r="R763" s="11"/>
      <c r="S763" s="11"/>
      <c r="T763" s="11"/>
      <c r="U763" s="11"/>
      <c r="V763" s="12"/>
      <c r="W763" s="12"/>
      <c r="X763" s="12"/>
      <c r="Y763" s="12"/>
      <c r="Z763" s="12"/>
    </row>
    <row r="764" spans="1:26" x14ac:dyDescent="0.2">
      <c r="A764" s="12"/>
      <c r="B764" s="13"/>
      <c r="C764" s="123"/>
      <c r="D764" s="12"/>
      <c r="E764" s="55"/>
      <c r="F764" s="55"/>
      <c r="G764" s="55"/>
      <c r="H764" s="12"/>
      <c r="I764" s="12"/>
      <c r="J764" s="12"/>
      <c r="K764" s="12"/>
      <c r="L764" s="12"/>
      <c r="M764" s="12"/>
      <c r="N764" s="12"/>
      <c r="O764" s="12"/>
      <c r="P764" s="12"/>
      <c r="Q764" s="12"/>
      <c r="R764" s="11"/>
      <c r="S764" s="11"/>
      <c r="T764" s="11"/>
      <c r="U764" s="11"/>
      <c r="V764" s="12"/>
      <c r="W764" s="12"/>
      <c r="X764" s="12"/>
      <c r="Y764" s="12"/>
      <c r="Z764" s="12"/>
    </row>
    <row r="765" spans="1:26" x14ac:dyDescent="0.2">
      <c r="A765" s="12"/>
      <c r="B765" s="13"/>
      <c r="C765" s="123"/>
      <c r="D765" s="12"/>
      <c r="E765" s="55"/>
      <c r="F765" s="55"/>
      <c r="G765" s="55"/>
      <c r="H765" s="12"/>
      <c r="I765" s="12"/>
      <c r="J765" s="12"/>
      <c r="K765" s="12"/>
      <c r="L765" s="12"/>
      <c r="M765" s="12"/>
      <c r="N765" s="12"/>
      <c r="O765" s="12"/>
      <c r="P765" s="12"/>
      <c r="Q765" s="12"/>
      <c r="R765" s="11"/>
      <c r="S765" s="11"/>
      <c r="T765" s="11"/>
      <c r="U765" s="11"/>
      <c r="V765" s="12"/>
      <c r="W765" s="12"/>
      <c r="X765" s="12"/>
      <c r="Y765" s="12"/>
      <c r="Z765" s="12"/>
    </row>
    <row r="766" spans="1:26" x14ac:dyDescent="0.2">
      <c r="A766" s="12"/>
      <c r="B766" s="13"/>
      <c r="C766" s="123"/>
      <c r="D766" s="12"/>
      <c r="E766" s="55"/>
      <c r="F766" s="55"/>
      <c r="G766" s="55"/>
      <c r="H766" s="12"/>
      <c r="I766" s="12"/>
      <c r="J766" s="12"/>
      <c r="K766" s="12"/>
      <c r="L766" s="12"/>
      <c r="M766" s="12"/>
      <c r="N766" s="12"/>
      <c r="O766" s="12"/>
      <c r="P766" s="12"/>
      <c r="Q766" s="12"/>
      <c r="R766" s="11"/>
      <c r="S766" s="11"/>
      <c r="T766" s="11"/>
      <c r="U766" s="11"/>
      <c r="V766" s="12"/>
      <c r="W766" s="12"/>
      <c r="X766" s="12"/>
      <c r="Y766" s="12"/>
      <c r="Z766" s="12"/>
    </row>
    <row r="767" spans="1:26" x14ac:dyDescent="0.2">
      <c r="A767" s="12"/>
      <c r="B767" s="13"/>
      <c r="C767" s="123"/>
      <c r="D767" s="12"/>
      <c r="E767" s="55"/>
      <c r="F767" s="55"/>
      <c r="G767" s="55"/>
      <c r="H767" s="12"/>
      <c r="I767" s="12"/>
      <c r="J767" s="12"/>
      <c r="K767" s="12"/>
      <c r="L767" s="12"/>
      <c r="M767" s="12"/>
      <c r="N767" s="12"/>
      <c r="O767" s="12"/>
      <c r="P767" s="12"/>
      <c r="Q767" s="12"/>
      <c r="R767" s="11"/>
      <c r="S767" s="11"/>
      <c r="T767" s="11"/>
      <c r="U767" s="11"/>
      <c r="V767" s="12"/>
      <c r="W767" s="12"/>
      <c r="X767" s="12"/>
      <c r="Y767" s="12"/>
      <c r="Z767" s="12"/>
    </row>
    <row r="768" spans="1:26" x14ac:dyDescent="0.2">
      <c r="A768" s="12"/>
      <c r="B768" s="13"/>
      <c r="C768" s="123"/>
      <c r="D768" s="12"/>
      <c r="E768" s="55"/>
      <c r="F768" s="55"/>
      <c r="G768" s="55"/>
      <c r="H768" s="12"/>
      <c r="I768" s="12"/>
      <c r="J768" s="12"/>
      <c r="K768" s="12"/>
      <c r="L768" s="12"/>
      <c r="M768" s="12"/>
      <c r="N768" s="12"/>
      <c r="O768" s="12"/>
      <c r="P768" s="12"/>
      <c r="Q768" s="12"/>
      <c r="R768" s="11"/>
      <c r="S768" s="11"/>
      <c r="T768" s="11"/>
      <c r="U768" s="11"/>
      <c r="V768" s="12"/>
      <c r="W768" s="12"/>
      <c r="X768" s="12"/>
      <c r="Y768" s="12"/>
      <c r="Z768" s="12"/>
    </row>
    <row r="769" spans="1:26" x14ac:dyDescent="0.2">
      <c r="A769" s="12"/>
      <c r="B769" s="13"/>
      <c r="C769" s="123"/>
      <c r="D769" s="12"/>
      <c r="E769" s="55"/>
      <c r="F769" s="55"/>
      <c r="G769" s="55"/>
      <c r="H769" s="12"/>
      <c r="I769" s="12"/>
      <c r="J769" s="12"/>
      <c r="K769" s="12"/>
      <c r="L769" s="12"/>
      <c r="M769" s="12"/>
      <c r="N769" s="12"/>
      <c r="O769" s="12"/>
      <c r="P769" s="12"/>
      <c r="Q769" s="12"/>
      <c r="R769" s="11"/>
      <c r="S769" s="11"/>
      <c r="T769" s="11"/>
      <c r="U769" s="11"/>
      <c r="V769" s="12"/>
      <c r="W769" s="12"/>
      <c r="X769" s="12"/>
      <c r="Y769" s="12"/>
      <c r="Z769" s="12"/>
    </row>
    <row r="770" spans="1:26" x14ac:dyDescent="0.2">
      <c r="A770" s="12"/>
      <c r="B770" s="13"/>
      <c r="C770" s="123"/>
      <c r="D770" s="12"/>
      <c r="E770" s="55"/>
      <c r="F770" s="55"/>
      <c r="G770" s="55"/>
      <c r="H770" s="12"/>
      <c r="I770" s="12"/>
      <c r="J770" s="12"/>
      <c r="K770" s="12"/>
      <c r="L770" s="12"/>
      <c r="M770" s="12"/>
      <c r="N770" s="12"/>
      <c r="O770" s="12"/>
      <c r="P770" s="12"/>
      <c r="Q770" s="12"/>
      <c r="R770" s="11"/>
      <c r="S770" s="11"/>
      <c r="T770" s="11"/>
      <c r="U770" s="11"/>
      <c r="V770" s="12"/>
      <c r="W770" s="12"/>
      <c r="X770" s="12"/>
      <c r="Y770" s="12"/>
      <c r="Z770" s="12"/>
    </row>
    <row r="771" spans="1:26" x14ac:dyDescent="0.2">
      <c r="A771" s="12"/>
      <c r="B771" s="13"/>
      <c r="C771" s="123"/>
      <c r="D771" s="12"/>
      <c r="E771" s="55"/>
      <c r="F771" s="55"/>
      <c r="G771" s="55"/>
      <c r="H771" s="12"/>
      <c r="I771" s="12"/>
      <c r="J771" s="12"/>
      <c r="K771" s="12"/>
      <c r="L771" s="12"/>
      <c r="M771" s="12"/>
      <c r="N771" s="12"/>
      <c r="O771" s="12"/>
      <c r="P771" s="12"/>
      <c r="Q771" s="12"/>
      <c r="R771" s="11"/>
      <c r="S771" s="11"/>
      <c r="T771" s="11"/>
      <c r="U771" s="11"/>
      <c r="V771" s="12"/>
      <c r="W771" s="12"/>
      <c r="X771" s="12"/>
      <c r="Y771" s="12"/>
      <c r="Z771" s="12"/>
    </row>
    <row r="772" spans="1:26" x14ac:dyDescent="0.2">
      <c r="A772" s="12"/>
      <c r="B772" s="13"/>
      <c r="C772" s="123"/>
      <c r="D772" s="12"/>
      <c r="E772" s="55"/>
      <c r="F772" s="55"/>
      <c r="G772" s="55"/>
      <c r="H772" s="12"/>
      <c r="I772" s="12"/>
      <c r="J772" s="12"/>
      <c r="K772" s="12"/>
      <c r="L772" s="12"/>
      <c r="M772" s="12"/>
      <c r="N772" s="12"/>
      <c r="O772" s="12"/>
      <c r="P772" s="12"/>
      <c r="Q772" s="12"/>
      <c r="R772" s="11"/>
      <c r="S772" s="11"/>
      <c r="T772" s="11"/>
      <c r="U772" s="11"/>
      <c r="V772" s="12"/>
      <c r="W772" s="12"/>
      <c r="X772" s="12"/>
      <c r="Y772" s="12"/>
      <c r="Z772" s="12"/>
    </row>
    <row r="773" spans="1:26" x14ac:dyDescent="0.2">
      <c r="A773" s="12"/>
      <c r="B773" s="13"/>
      <c r="C773" s="123"/>
      <c r="D773" s="12"/>
      <c r="E773" s="55"/>
      <c r="F773" s="55"/>
      <c r="G773" s="55"/>
      <c r="H773" s="12"/>
      <c r="I773" s="12"/>
      <c r="J773" s="12"/>
      <c r="K773" s="12"/>
      <c r="L773" s="12"/>
      <c r="M773" s="12"/>
      <c r="N773" s="12"/>
      <c r="O773" s="12"/>
      <c r="P773" s="12"/>
      <c r="Q773" s="12"/>
      <c r="R773" s="11"/>
      <c r="S773" s="11"/>
      <c r="T773" s="11"/>
      <c r="U773" s="11"/>
      <c r="V773" s="12"/>
      <c r="W773" s="12"/>
      <c r="X773" s="12"/>
      <c r="Y773" s="12"/>
      <c r="Z773" s="12"/>
    </row>
    <row r="774" spans="1:26" x14ac:dyDescent="0.2">
      <c r="A774" s="12"/>
      <c r="B774" s="13"/>
      <c r="C774" s="123"/>
      <c r="D774" s="12"/>
      <c r="E774" s="55"/>
      <c r="F774" s="55"/>
      <c r="G774" s="55"/>
      <c r="H774" s="12"/>
      <c r="I774" s="12"/>
      <c r="J774" s="12"/>
      <c r="K774" s="12"/>
      <c r="L774" s="12"/>
      <c r="M774" s="12"/>
      <c r="N774" s="12"/>
      <c r="O774" s="12"/>
      <c r="P774" s="12"/>
      <c r="Q774" s="12"/>
      <c r="R774" s="11"/>
      <c r="S774" s="11"/>
      <c r="T774" s="11"/>
      <c r="U774" s="11"/>
      <c r="V774" s="12"/>
      <c r="W774" s="12"/>
      <c r="X774" s="12"/>
      <c r="Y774" s="12"/>
      <c r="Z774" s="12"/>
    </row>
    <row r="775" spans="1:26" x14ac:dyDescent="0.2">
      <c r="A775" s="12"/>
      <c r="B775" s="13"/>
      <c r="C775" s="123"/>
      <c r="D775" s="12"/>
      <c r="E775" s="55"/>
      <c r="F775" s="55"/>
      <c r="G775" s="55"/>
      <c r="H775" s="12"/>
      <c r="I775" s="12"/>
      <c r="J775" s="12"/>
      <c r="K775" s="12"/>
      <c r="L775" s="12"/>
      <c r="M775" s="12"/>
      <c r="N775" s="12"/>
      <c r="O775" s="12"/>
      <c r="P775" s="12"/>
      <c r="Q775" s="12"/>
      <c r="R775" s="11"/>
      <c r="S775" s="11"/>
      <c r="T775" s="11"/>
      <c r="U775" s="11"/>
      <c r="V775" s="12"/>
      <c r="W775" s="12"/>
      <c r="X775" s="12"/>
      <c r="Y775" s="12"/>
      <c r="Z775" s="12"/>
    </row>
    <row r="776" spans="1:26" x14ac:dyDescent="0.2">
      <c r="A776" s="12"/>
      <c r="B776" s="13"/>
      <c r="C776" s="123"/>
      <c r="D776" s="12"/>
      <c r="E776" s="55"/>
      <c r="F776" s="55"/>
      <c r="G776" s="55"/>
      <c r="H776" s="12"/>
      <c r="I776" s="12"/>
      <c r="J776" s="12"/>
      <c r="K776" s="12"/>
      <c r="L776" s="12"/>
      <c r="M776" s="12"/>
      <c r="N776" s="12"/>
      <c r="O776" s="12"/>
      <c r="P776" s="12"/>
      <c r="Q776" s="12"/>
      <c r="R776" s="11"/>
      <c r="S776" s="11"/>
      <c r="T776" s="11"/>
      <c r="U776" s="11"/>
      <c r="V776" s="12"/>
      <c r="W776" s="12"/>
      <c r="X776" s="12"/>
      <c r="Y776" s="12"/>
      <c r="Z776" s="12"/>
    </row>
    <row r="777" spans="1:26" x14ac:dyDescent="0.2">
      <c r="A777" s="12"/>
      <c r="B777" s="13"/>
      <c r="C777" s="123"/>
      <c r="D777" s="12"/>
      <c r="E777" s="55"/>
      <c r="F777" s="55"/>
      <c r="G777" s="55"/>
      <c r="H777" s="12"/>
      <c r="I777" s="12"/>
      <c r="J777" s="12"/>
      <c r="K777" s="12"/>
      <c r="L777" s="12"/>
      <c r="M777" s="12"/>
      <c r="N777" s="12"/>
      <c r="O777" s="12"/>
      <c r="P777" s="12"/>
      <c r="Q777" s="12"/>
      <c r="R777" s="11"/>
      <c r="S777" s="11"/>
      <c r="T777" s="11"/>
      <c r="U777" s="11"/>
      <c r="V777" s="12"/>
      <c r="W777" s="12"/>
      <c r="X777" s="12"/>
      <c r="Y777" s="12"/>
      <c r="Z777" s="12"/>
    </row>
    <row r="778" spans="1:26" x14ac:dyDescent="0.2">
      <c r="A778" s="12"/>
      <c r="B778" s="13"/>
      <c r="C778" s="123"/>
      <c r="D778" s="12"/>
      <c r="E778" s="55"/>
      <c r="F778" s="55"/>
      <c r="G778" s="55"/>
      <c r="H778" s="12"/>
      <c r="I778" s="12"/>
      <c r="J778" s="12"/>
      <c r="K778" s="12"/>
      <c r="L778" s="12"/>
      <c r="M778" s="12"/>
      <c r="N778" s="12"/>
      <c r="O778" s="12"/>
      <c r="P778" s="12"/>
      <c r="Q778" s="12"/>
      <c r="R778" s="11"/>
      <c r="S778" s="11"/>
      <c r="T778" s="11"/>
      <c r="U778" s="11"/>
      <c r="V778" s="12"/>
      <c r="W778" s="12"/>
      <c r="X778" s="12"/>
      <c r="Y778" s="12"/>
      <c r="Z778" s="12"/>
    </row>
    <row r="779" spans="1:26" x14ac:dyDescent="0.2">
      <c r="A779" s="12"/>
      <c r="B779" s="13"/>
      <c r="C779" s="123"/>
      <c r="D779" s="12"/>
      <c r="E779" s="55"/>
      <c r="F779" s="55"/>
      <c r="G779" s="55"/>
      <c r="H779" s="12"/>
      <c r="I779" s="12"/>
      <c r="J779" s="12"/>
      <c r="K779" s="12"/>
      <c r="L779" s="12"/>
      <c r="M779" s="12"/>
      <c r="N779" s="12"/>
      <c r="O779" s="12"/>
      <c r="P779" s="12"/>
      <c r="Q779" s="12"/>
      <c r="R779" s="11"/>
      <c r="S779" s="11"/>
      <c r="T779" s="11"/>
      <c r="U779" s="11"/>
      <c r="V779" s="12"/>
      <c r="W779" s="12"/>
      <c r="X779" s="12"/>
      <c r="Y779" s="12"/>
      <c r="Z779" s="12"/>
    </row>
    <row r="780" spans="1:26" x14ac:dyDescent="0.2">
      <c r="A780" s="12"/>
      <c r="B780" s="13"/>
      <c r="C780" s="123"/>
      <c r="D780" s="12"/>
      <c r="E780" s="55"/>
      <c r="F780" s="55"/>
      <c r="G780" s="55"/>
      <c r="H780" s="12"/>
      <c r="I780" s="12"/>
      <c r="J780" s="12"/>
      <c r="K780" s="12"/>
      <c r="L780" s="12"/>
      <c r="M780" s="12"/>
      <c r="N780" s="12"/>
      <c r="O780" s="12"/>
      <c r="P780" s="12"/>
      <c r="Q780" s="12"/>
      <c r="R780" s="11"/>
      <c r="S780" s="11"/>
      <c r="T780" s="11"/>
      <c r="U780" s="11"/>
      <c r="V780" s="12"/>
      <c r="W780" s="12"/>
      <c r="X780" s="12"/>
      <c r="Y780" s="12"/>
      <c r="Z780" s="12"/>
    </row>
    <row r="781" spans="1:26" x14ac:dyDescent="0.2">
      <c r="A781" s="12"/>
      <c r="B781" s="13"/>
      <c r="C781" s="123"/>
      <c r="D781" s="12"/>
      <c r="E781" s="55"/>
      <c r="F781" s="55"/>
      <c r="G781" s="55"/>
      <c r="H781" s="12"/>
      <c r="I781" s="12"/>
      <c r="J781" s="12"/>
      <c r="K781" s="12"/>
      <c r="L781" s="12"/>
      <c r="M781" s="12"/>
      <c r="N781" s="12"/>
      <c r="O781" s="12"/>
      <c r="P781" s="12"/>
      <c r="Q781" s="12"/>
      <c r="R781" s="11"/>
      <c r="S781" s="11"/>
      <c r="T781" s="11"/>
      <c r="U781" s="11"/>
      <c r="V781" s="12"/>
      <c r="W781" s="12"/>
      <c r="X781" s="12"/>
      <c r="Y781" s="12"/>
      <c r="Z781" s="12"/>
    </row>
    <row r="782" spans="1:26" x14ac:dyDescent="0.2">
      <c r="A782" s="12"/>
      <c r="B782" s="13"/>
      <c r="C782" s="123"/>
      <c r="D782" s="12"/>
      <c r="E782" s="55"/>
      <c r="F782" s="55"/>
      <c r="G782" s="55"/>
      <c r="H782" s="12"/>
      <c r="I782" s="12"/>
      <c r="J782" s="12"/>
      <c r="K782" s="12"/>
      <c r="L782" s="12"/>
      <c r="M782" s="12"/>
      <c r="N782" s="12"/>
      <c r="O782" s="12"/>
      <c r="P782" s="12"/>
      <c r="Q782" s="12"/>
      <c r="R782" s="11"/>
      <c r="S782" s="11"/>
      <c r="T782" s="11"/>
      <c r="U782" s="11"/>
      <c r="V782" s="12"/>
      <c r="W782" s="12"/>
      <c r="X782" s="12"/>
      <c r="Y782" s="12"/>
      <c r="Z782" s="12"/>
    </row>
    <row r="783" spans="1:26" x14ac:dyDescent="0.2">
      <c r="A783" s="12"/>
      <c r="B783" s="13"/>
      <c r="C783" s="123"/>
      <c r="D783" s="12"/>
      <c r="E783" s="55"/>
      <c r="F783" s="55"/>
      <c r="G783" s="55"/>
      <c r="H783" s="12"/>
      <c r="I783" s="12"/>
      <c r="J783" s="12"/>
      <c r="K783" s="12"/>
      <c r="L783" s="12"/>
      <c r="M783" s="12"/>
      <c r="N783" s="12"/>
      <c r="O783" s="12"/>
      <c r="P783" s="12"/>
      <c r="Q783" s="12"/>
      <c r="R783" s="11"/>
      <c r="S783" s="11"/>
      <c r="T783" s="11"/>
      <c r="U783" s="11"/>
      <c r="V783" s="12"/>
      <c r="W783" s="12"/>
      <c r="X783" s="12"/>
      <c r="Y783" s="12"/>
      <c r="Z783" s="12"/>
    </row>
    <row r="784" spans="1:26" x14ac:dyDescent="0.2">
      <c r="A784" s="12"/>
      <c r="B784" s="13"/>
      <c r="C784" s="123"/>
      <c r="D784" s="12"/>
      <c r="E784" s="55"/>
      <c r="F784" s="55"/>
      <c r="G784" s="55"/>
      <c r="H784" s="12"/>
      <c r="I784" s="12"/>
      <c r="J784" s="12"/>
      <c r="K784" s="12"/>
      <c r="L784" s="12"/>
      <c r="M784" s="12"/>
      <c r="N784" s="12"/>
      <c r="O784" s="12"/>
      <c r="P784" s="12"/>
      <c r="Q784" s="12"/>
      <c r="R784" s="11"/>
      <c r="S784" s="11"/>
      <c r="T784" s="11"/>
      <c r="U784" s="11"/>
      <c r="V784" s="12"/>
      <c r="W784" s="12"/>
      <c r="X784" s="12"/>
      <c r="Y784" s="12"/>
      <c r="Z784" s="12"/>
    </row>
    <row r="785" spans="1:26" x14ac:dyDescent="0.2">
      <c r="A785" s="12"/>
      <c r="B785" s="13"/>
      <c r="C785" s="123"/>
      <c r="D785" s="12"/>
      <c r="E785" s="55"/>
      <c r="F785" s="55"/>
      <c r="G785" s="55"/>
      <c r="H785" s="12"/>
      <c r="I785" s="12"/>
      <c r="J785" s="12"/>
      <c r="K785" s="12"/>
      <c r="L785" s="12"/>
      <c r="M785" s="12"/>
      <c r="N785" s="12"/>
      <c r="O785" s="12"/>
      <c r="P785" s="12"/>
      <c r="Q785" s="12"/>
      <c r="R785" s="11"/>
      <c r="S785" s="11"/>
      <c r="T785" s="11"/>
      <c r="U785" s="11"/>
      <c r="V785" s="12"/>
      <c r="W785" s="12"/>
      <c r="X785" s="12"/>
      <c r="Y785" s="12"/>
      <c r="Z785" s="12"/>
    </row>
    <row r="786" spans="1:26" x14ac:dyDescent="0.2">
      <c r="A786" s="12"/>
      <c r="B786" s="13"/>
      <c r="C786" s="123"/>
      <c r="D786" s="12"/>
      <c r="E786" s="55"/>
      <c r="F786" s="55"/>
      <c r="G786" s="55"/>
      <c r="H786" s="12"/>
      <c r="I786" s="12"/>
      <c r="J786" s="12"/>
      <c r="K786" s="12"/>
      <c r="L786" s="12"/>
      <c r="M786" s="12"/>
      <c r="N786" s="12"/>
      <c r="O786" s="12"/>
      <c r="P786" s="12"/>
      <c r="Q786" s="12"/>
      <c r="R786" s="11"/>
      <c r="S786" s="11"/>
      <c r="T786" s="11"/>
      <c r="U786" s="11"/>
      <c r="V786" s="12"/>
      <c r="W786" s="12"/>
      <c r="X786" s="12"/>
      <c r="Y786" s="12"/>
      <c r="Z786" s="12"/>
    </row>
    <row r="787" spans="1:26" x14ac:dyDescent="0.2">
      <c r="A787" s="12"/>
      <c r="B787" s="13"/>
      <c r="C787" s="123"/>
      <c r="D787" s="12"/>
      <c r="E787" s="55"/>
      <c r="F787" s="55"/>
      <c r="G787" s="55"/>
      <c r="H787" s="12"/>
      <c r="I787" s="12"/>
      <c r="J787" s="12"/>
      <c r="K787" s="12"/>
      <c r="L787" s="12"/>
      <c r="M787" s="12"/>
      <c r="N787" s="12"/>
      <c r="O787" s="12"/>
      <c r="P787" s="12"/>
      <c r="Q787" s="12"/>
      <c r="R787" s="11"/>
      <c r="S787" s="11"/>
      <c r="T787" s="11"/>
      <c r="U787" s="11"/>
      <c r="V787" s="12"/>
      <c r="W787" s="12"/>
      <c r="X787" s="12"/>
      <c r="Y787" s="12"/>
      <c r="Z787" s="12"/>
    </row>
    <row r="788" spans="1:26" x14ac:dyDescent="0.2">
      <c r="A788" s="12"/>
      <c r="B788" s="13"/>
      <c r="C788" s="123"/>
      <c r="D788" s="12"/>
      <c r="E788" s="55"/>
      <c r="F788" s="55"/>
      <c r="G788" s="55"/>
      <c r="H788" s="12"/>
      <c r="I788" s="12"/>
      <c r="J788" s="12"/>
      <c r="K788" s="12"/>
      <c r="L788" s="12"/>
      <c r="M788" s="12"/>
      <c r="N788" s="12"/>
      <c r="O788" s="12"/>
      <c r="P788" s="12"/>
      <c r="Q788" s="12"/>
      <c r="R788" s="11"/>
      <c r="S788" s="11"/>
      <c r="T788" s="11"/>
      <c r="U788" s="11"/>
      <c r="V788" s="12"/>
      <c r="W788" s="12"/>
      <c r="X788" s="12"/>
      <c r="Y788" s="12"/>
      <c r="Z788" s="12"/>
    </row>
    <row r="789" spans="1:26" x14ac:dyDescent="0.2">
      <c r="A789" s="12"/>
      <c r="B789" s="13"/>
      <c r="C789" s="123"/>
      <c r="D789" s="12"/>
      <c r="E789" s="55"/>
      <c r="F789" s="55"/>
      <c r="G789" s="55"/>
      <c r="H789" s="12"/>
      <c r="I789" s="12"/>
      <c r="J789" s="12"/>
      <c r="K789" s="12"/>
      <c r="L789" s="12"/>
      <c r="M789" s="12"/>
      <c r="N789" s="12"/>
      <c r="O789" s="12"/>
      <c r="P789" s="12"/>
      <c r="Q789" s="12"/>
      <c r="R789" s="11"/>
      <c r="S789" s="11"/>
      <c r="T789" s="11"/>
      <c r="U789" s="11"/>
      <c r="V789" s="12"/>
      <c r="W789" s="12"/>
      <c r="X789" s="12"/>
      <c r="Y789" s="12"/>
      <c r="Z789" s="12"/>
    </row>
    <row r="790" spans="1:26" x14ac:dyDescent="0.2">
      <c r="A790" s="12"/>
      <c r="B790" s="13"/>
      <c r="C790" s="123"/>
      <c r="D790" s="12"/>
      <c r="E790" s="55"/>
      <c r="F790" s="55"/>
      <c r="G790" s="55"/>
      <c r="H790" s="12"/>
      <c r="I790" s="12"/>
      <c r="J790" s="12"/>
      <c r="K790" s="12"/>
      <c r="L790" s="12"/>
      <c r="M790" s="12"/>
      <c r="N790" s="12"/>
      <c r="O790" s="12"/>
      <c r="P790" s="12"/>
      <c r="Q790" s="12"/>
      <c r="R790" s="11"/>
      <c r="S790" s="11"/>
      <c r="T790" s="11"/>
      <c r="U790" s="11"/>
      <c r="V790" s="12"/>
      <c r="W790" s="12"/>
      <c r="X790" s="12"/>
      <c r="Y790" s="12"/>
      <c r="Z790" s="12"/>
    </row>
    <row r="791" spans="1:26" x14ac:dyDescent="0.2">
      <c r="A791" s="12"/>
      <c r="B791" s="13"/>
      <c r="C791" s="123"/>
      <c r="D791" s="12"/>
      <c r="E791" s="55"/>
      <c r="F791" s="55"/>
      <c r="G791" s="55"/>
      <c r="H791" s="12"/>
      <c r="I791" s="12"/>
      <c r="J791" s="12"/>
      <c r="K791" s="12"/>
      <c r="L791" s="12"/>
      <c r="M791" s="12"/>
      <c r="N791" s="12"/>
      <c r="O791" s="12"/>
      <c r="P791" s="12"/>
      <c r="Q791" s="12"/>
      <c r="R791" s="11"/>
      <c r="S791" s="11"/>
      <c r="T791" s="11"/>
      <c r="U791" s="11"/>
      <c r="V791" s="12"/>
      <c r="W791" s="12"/>
      <c r="X791" s="12"/>
      <c r="Y791" s="12"/>
      <c r="Z791" s="12"/>
    </row>
    <row r="792" spans="1:26" x14ac:dyDescent="0.2">
      <c r="A792" s="12"/>
      <c r="B792" s="13"/>
      <c r="C792" s="123"/>
      <c r="D792" s="12"/>
      <c r="E792" s="55"/>
      <c r="F792" s="55"/>
      <c r="G792" s="55"/>
      <c r="H792" s="12"/>
      <c r="I792" s="12"/>
      <c r="J792" s="12"/>
      <c r="K792" s="12"/>
      <c r="L792" s="12"/>
      <c r="M792" s="12"/>
      <c r="N792" s="12"/>
      <c r="O792" s="12"/>
      <c r="P792" s="12"/>
      <c r="Q792" s="12"/>
      <c r="R792" s="11"/>
      <c r="S792" s="11"/>
      <c r="T792" s="11"/>
      <c r="U792" s="11"/>
      <c r="V792" s="12"/>
      <c r="W792" s="12"/>
      <c r="X792" s="12"/>
      <c r="Y792" s="12"/>
      <c r="Z792" s="12"/>
    </row>
    <row r="793" spans="1:26" x14ac:dyDescent="0.2">
      <c r="A793" s="12"/>
      <c r="B793" s="13"/>
      <c r="C793" s="123"/>
      <c r="D793" s="12"/>
      <c r="E793" s="55"/>
      <c r="F793" s="55"/>
      <c r="G793" s="55"/>
      <c r="H793" s="12"/>
      <c r="I793" s="12"/>
      <c r="J793" s="12"/>
      <c r="K793" s="12"/>
      <c r="L793" s="12"/>
      <c r="M793" s="12"/>
      <c r="N793" s="12"/>
      <c r="O793" s="12"/>
      <c r="P793" s="12"/>
      <c r="Q793" s="12"/>
      <c r="R793" s="11"/>
      <c r="S793" s="11"/>
      <c r="T793" s="11"/>
      <c r="U793" s="11"/>
      <c r="V793" s="12"/>
      <c r="W793" s="12"/>
      <c r="X793" s="12"/>
      <c r="Y793" s="12"/>
      <c r="Z793" s="12"/>
    </row>
    <row r="794" spans="1:26" x14ac:dyDescent="0.2">
      <c r="A794" s="12"/>
      <c r="B794" s="13"/>
      <c r="C794" s="123"/>
      <c r="D794" s="12"/>
      <c r="E794" s="55"/>
      <c r="F794" s="55"/>
      <c r="G794" s="55"/>
      <c r="H794" s="12"/>
      <c r="I794" s="12"/>
      <c r="J794" s="12"/>
      <c r="K794" s="12"/>
      <c r="L794" s="12"/>
      <c r="M794" s="12"/>
      <c r="N794" s="12"/>
      <c r="O794" s="12"/>
      <c r="P794" s="12"/>
      <c r="Q794" s="12"/>
      <c r="R794" s="11"/>
      <c r="S794" s="11"/>
      <c r="T794" s="11"/>
      <c r="U794" s="11"/>
      <c r="V794" s="12"/>
      <c r="W794" s="12"/>
      <c r="X794" s="12"/>
      <c r="Y794" s="12"/>
      <c r="Z794" s="12"/>
    </row>
    <row r="795" spans="1:26" x14ac:dyDescent="0.2">
      <c r="A795" s="12"/>
      <c r="B795" s="13"/>
      <c r="C795" s="123"/>
      <c r="D795" s="12"/>
      <c r="E795" s="55"/>
      <c r="F795" s="55"/>
      <c r="G795" s="55"/>
      <c r="H795" s="12"/>
      <c r="I795" s="12"/>
      <c r="J795" s="12"/>
      <c r="K795" s="12"/>
      <c r="L795" s="12"/>
      <c r="M795" s="12"/>
      <c r="N795" s="12"/>
      <c r="O795" s="12"/>
      <c r="P795" s="12"/>
      <c r="Q795" s="12"/>
      <c r="R795" s="11"/>
      <c r="S795" s="11"/>
      <c r="T795" s="11"/>
      <c r="U795" s="11"/>
      <c r="V795" s="12"/>
      <c r="W795" s="12"/>
      <c r="X795" s="12"/>
      <c r="Y795" s="12"/>
      <c r="Z795" s="12"/>
    </row>
    <row r="796" spans="1:26" x14ac:dyDescent="0.2">
      <c r="A796" s="12"/>
      <c r="B796" s="13"/>
      <c r="C796" s="123"/>
      <c r="D796" s="12"/>
      <c r="E796" s="55"/>
      <c r="F796" s="55"/>
      <c r="G796" s="55"/>
      <c r="H796" s="12"/>
      <c r="I796" s="12"/>
      <c r="J796" s="12"/>
      <c r="K796" s="12"/>
      <c r="L796" s="12"/>
      <c r="M796" s="12"/>
      <c r="N796" s="12"/>
      <c r="O796" s="12"/>
      <c r="P796" s="12"/>
      <c r="Q796" s="12"/>
      <c r="R796" s="11"/>
      <c r="S796" s="11"/>
      <c r="T796" s="11"/>
      <c r="U796" s="11"/>
      <c r="V796" s="12"/>
      <c r="W796" s="12"/>
      <c r="X796" s="12"/>
      <c r="Y796" s="12"/>
      <c r="Z796" s="12"/>
    </row>
    <row r="797" spans="1:26" x14ac:dyDescent="0.2">
      <c r="A797" s="12"/>
      <c r="B797" s="13"/>
      <c r="C797" s="123"/>
      <c r="D797" s="12"/>
      <c r="E797" s="55"/>
      <c r="F797" s="55"/>
      <c r="G797" s="55"/>
      <c r="H797" s="12"/>
      <c r="I797" s="12"/>
      <c r="J797" s="12"/>
      <c r="K797" s="12"/>
      <c r="L797" s="12"/>
      <c r="M797" s="12"/>
      <c r="N797" s="12"/>
      <c r="O797" s="12"/>
      <c r="P797" s="12"/>
      <c r="Q797" s="12"/>
      <c r="R797" s="11"/>
      <c r="S797" s="11"/>
      <c r="T797" s="11"/>
      <c r="U797" s="11"/>
      <c r="V797" s="12"/>
      <c r="W797" s="12"/>
      <c r="X797" s="12"/>
      <c r="Y797" s="12"/>
      <c r="Z797" s="12"/>
    </row>
    <row r="798" spans="1:26" x14ac:dyDescent="0.2">
      <c r="A798" s="12"/>
      <c r="B798" s="13"/>
      <c r="C798" s="123"/>
      <c r="D798" s="12"/>
      <c r="E798" s="55"/>
      <c r="F798" s="55"/>
      <c r="G798" s="55"/>
      <c r="H798" s="12"/>
      <c r="I798" s="12"/>
      <c r="J798" s="12"/>
      <c r="K798" s="12"/>
      <c r="L798" s="12"/>
      <c r="M798" s="12"/>
      <c r="N798" s="12"/>
      <c r="O798" s="12"/>
      <c r="P798" s="12"/>
      <c r="Q798" s="12"/>
      <c r="R798" s="11"/>
      <c r="S798" s="11"/>
      <c r="T798" s="11"/>
      <c r="U798" s="11"/>
      <c r="V798" s="12"/>
      <c r="W798" s="12"/>
      <c r="X798" s="12"/>
      <c r="Y798" s="12"/>
      <c r="Z798" s="12"/>
    </row>
    <row r="799" spans="1:26" x14ac:dyDescent="0.2">
      <c r="A799" s="12"/>
      <c r="B799" s="13"/>
      <c r="C799" s="123"/>
      <c r="D799" s="12"/>
      <c r="E799" s="55"/>
      <c r="F799" s="55"/>
      <c r="G799" s="55"/>
      <c r="H799" s="12"/>
      <c r="I799" s="12"/>
      <c r="J799" s="12"/>
      <c r="K799" s="12"/>
      <c r="L799" s="12"/>
      <c r="M799" s="12"/>
      <c r="N799" s="12"/>
      <c r="O799" s="12"/>
      <c r="P799" s="12"/>
      <c r="Q799" s="12"/>
      <c r="R799" s="11"/>
      <c r="S799" s="11"/>
      <c r="T799" s="11"/>
      <c r="U799" s="11"/>
      <c r="V799" s="12"/>
      <c r="W799" s="12"/>
      <c r="X799" s="12"/>
      <c r="Y799" s="12"/>
      <c r="Z799" s="12"/>
    </row>
    <row r="800" spans="1:26" x14ac:dyDescent="0.2">
      <c r="A800" s="12"/>
      <c r="B800" s="13"/>
      <c r="C800" s="123"/>
      <c r="D800" s="12"/>
      <c r="E800" s="55"/>
      <c r="F800" s="55"/>
      <c r="G800" s="55"/>
      <c r="H800" s="12"/>
      <c r="I800" s="12"/>
      <c r="J800" s="12"/>
      <c r="K800" s="12"/>
      <c r="L800" s="12"/>
      <c r="M800" s="12"/>
      <c r="N800" s="12"/>
      <c r="O800" s="12"/>
      <c r="P800" s="12"/>
      <c r="Q800" s="12"/>
      <c r="R800" s="11"/>
      <c r="S800" s="11"/>
      <c r="T800" s="11"/>
      <c r="U800" s="11"/>
      <c r="V800" s="12"/>
      <c r="W800" s="12"/>
      <c r="X800" s="12"/>
      <c r="Y800" s="12"/>
      <c r="Z800" s="12"/>
    </row>
    <row r="801" spans="1:26" x14ac:dyDescent="0.2">
      <c r="A801" s="12"/>
      <c r="B801" s="13"/>
      <c r="C801" s="123"/>
      <c r="D801" s="12"/>
      <c r="E801" s="55"/>
      <c r="F801" s="55"/>
      <c r="G801" s="55"/>
      <c r="H801" s="12"/>
      <c r="I801" s="12"/>
      <c r="J801" s="12"/>
      <c r="K801" s="12"/>
      <c r="L801" s="12"/>
      <c r="M801" s="12"/>
      <c r="N801" s="12"/>
      <c r="O801" s="12"/>
      <c r="P801" s="12"/>
      <c r="Q801" s="12"/>
      <c r="R801" s="11"/>
      <c r="S801" s="11"/>
      <c r="T801" s="11"/>
      <c r="U801" s="11"/>
      <c r="V801" s="12"/>
      <c r="W801" s="12"/>
      <c r="X801" s="12"/>
      <c r="Y801" s="12"/>
      <c r="Z801" s="12"/>
    </row>
    <row r="802" spans="1:26" x14ac:dyDescent="0.2">
      <c r="A802" s="12"/>
      <c r="B802" s="13"/>
      <c r="C802" s="123"/>
      <c r="D802" s="12"/>
      <c r="E802" s="55"/>
      <c r="F802" s="55"/>
      <c r="G802" s="55"/>
      <c r="H802" s="12"/>
      <c r="I802" s="12"/>
      <c r="J802" s="12"/>
      <c r="K802" s="12"/>
      <c r="L802" s="12"/>
      <c r="M802" s="12"/>
      <c r="N802" s="12"/>
      <c r="O802" s="12"/>
      <c r="P802" s="12"/>
      <c r="Q802" s="12"/>
      <c r="R802" s="11"/>
      <c r="S802" s="11"/>
      <c r="T802" s="11"/>
      <c r="U802" s="11"/>
      <c r="V802" s="12"/>
      <c r="W802" s="12"/>
      <c r="X802" s="12"/>
      <c r="Y802" s="12"/>
      <c r="Z802" s="12"/>
    </row>
    <row r="803" spans="1:26" x14ac:dyDescent="0.2">
      <c r="A803" s="12"/>
      <c r="B803" s="13"/>
      <c r="C803" s="123"/>
      <c r="D803" s="12"/>
      <c r="E803" s="55"/>
      <c r="F803" s="55"/>
      <c r="G803" s="55"/>
      <c r="H803" s="12"/>
      <c r="I803" s="12"/>
      <c r="J803" s="12"/>
      <c r="K803" s="12"/>
      <c r="L803" s="12"/>
      <c r="M803" s="12"/>
      <c r="N803" s="12"/>
      <c r="O803" s="12"/>
      <c r="P803" s="12"/>
      <c r="Q803" s="12"/>
      <c r="R803" s="11"/>
      <c r="S803" s="11"/>
      <c r="T803" s="11"/>
      <c r="U803" s="11"/>
      <c r="V803" s="12"/>
      <c r="W803" s="12"/>
      <c r="X803" s="12"/>
      <c r="Y803" s="12"/>
      <c r="Z803" s="12"/>
    </row>
    <row r="804" spans="1:26" x14ac:dyDescent="0.2">
      <c r="A804" s="12"/>
      <c r="B804" s="13"/>
      <c r="C804" s="123"/>
      <c r="D804" s="12"/>
      <c r="E804" s="55"/>
      <c r="F804" s="55"/>
      <c r="G804" s="55"/>
      <c r="H804" s="12"/>
      <c r="I804" s="12"/>
      <c r="J804" s="12"/>
      <c r="K804" s="12"/>
      <c r="L804" s="12"/>
      <c r="M804" s="12"/>
      <c r="N804" s="12"/>
      <c r="O804" s="12"/>
      <c r="P804" s="12"/>
      <c r="Q804" s="12"/>
      <c r="R804" s="11"/>
      <c r="S804" s="11"/>
      <c r="T804" s="11"/>
      <c r="U804" s="11"/>
      <c r="V804" s="12"/>
      <c r="W804" s="12"/>
      <c r="X804" s="12"/>
      <c r="Y804" s="12"/>
      <c r="Z804" s="12"/>
    </row>
    <row r="805" spans="1:26" x14ac:dyDescent="0.2">
      <c r="A805" s="12"/>
      <c r="B805" s="13"/>
      <c r="C805" s="123"/>
      <c r="D805" s="12"/>
      <c r="E805" s="55"/>
      <c r="F805" s="55"/>
      <c r="G805" s="55"/>
      <c r="H805" s="12"/>
      <c r="I805" s="12"/>
      <c r="J805" s="12"/>
      <c r="K805" s="12"/>
      <c r="L805" s="12"/>
      <c r="M805" s="12"/>
      <c r="N805" s="12"/>
      <c r="O805" s="12"/>
      <c r="P805" s="12"/>
      <c r="Q805" s="12"/>
      <c r="R805" s="11"/>
      <c r="S805" s="11"/>
      <c r="T805" s="11"/>
      <c r="U805" s="11"/>
      <c r="V805" s="12"/>
      <c r="W805" s="12"/>
      <c r="X805" s="12"/>
      <c r="Y805" s="12"/>
      <c r="Z805" s="12"/>
    </row>
    <row r="806" spans="1:26" x14ac:dyDescent="0.2">
      <c r="A806" s="12"/>
      <c r="B806" s="13"/>
      <c r="C806" s="123"/>
      <c r="D806" s="12"/>
      <c r="E806" s="55"/>
      <c r="F806" s="55"/>
      <c r="G806" s="55"/>
      <c r="H806" s="12"/>
      <c r="I806" s="12"/>
      <c r="J806" s="12"/>
      <c r="K806" s="12"/>
      <c r="L806" s="12"/>
      <c r="M806" s="12"/>
      <c r="N806" s="12"/>
      <c r="O806" s="12"/>
      <c r="P806" s="12"/>
      <c r="Q806" s="12"/>
      <c r="R806" s="11"/>
      <c r="S806" s="11"/>
      <c r="T806" s="11"/>
      <c r="U806" s="11"/>
      <c r="V806" s="12"/>
      <c r="W806" s="12"/>
      <c r="X806" s="12"/>
      <c r="Y806" s="12"/>
      <c r="Z806" s="12"/>
    </row>
    <row r="807" spans="1:26" x14ac:dyDescent="0.2">
      <c r="A807" s="12"/>
      <c r="B807" s="13"/>
      <c r="C807" s="123"/>
      <c r="D807" s="12"/>
      <c r="E807" s="55"/>
      <c r="F807" s="55"/>
      <c r="G807" s="55"/>
      <c r="H807" s="12"/>
      <c r="I807" s="12"/>
      <c r="J807" s="12"/>
      <c r="K807" s="12"/>
      <c r="L807" s="12"/>
      <c r="M807" s="12"/>
      <c r="N807" s="12"/>
      <c r="O807" s="12"/>
      <c r="P807" s="12"/>
      <c r="Q807" s="12"/>
      <c r="R807" s="11"/>
      <c r="S807" s="11"/>
      <c r="T807" s="11"/>
      <c r="U807" s="11"/>
      <c r="V807" s="12"/>
      <c r="W807" s="12"/>
      <c r="X807" s="12"/>
      <c r="Y807" s="12"/>
      <c r="Z807" s="12"/>
    </row>
    <row r="808" spans="1:26" x14ac:dyDescent="0.2">
      <c r="A808" s="12"/>
      <c r="B808" s="13"/>
      <c r="C808" s="123"/>
      <c r="D808" s="12"/>
      <c r="E808" s="55"/>
      <c r="F808" s="55"/>
      <c r="G808" s="55"/>
      <c r="H808" s="12"/>
      <c r="I808" s="12"/>
      <c r="J808" s="12"/>
      <c r="K808" s="12"/>
      <c r="L808" s="12"/>
      <c r="M808" s="12"/>
      <c r="N808" s="12"/>
      <c r="O808" s="12"/>
      <c r="P808" s="12"/>
      <c r="Q808" s="12"/>
      <c r="R808" s="11"/>
      <c r="S808" s="11"/>
      <c r="T808" s="11"/>
      <c r="U808" s="11"/>
      <c r="V808" s="12"/>
      <c r="W808" s="12"/>
      <c r="X808" s="12"/>
      <c r="Y808" s="12"/>
      <c r="Z808" s="12"/>
    </row>
    <row r="809" spans="1:26" x14ac:dyDescent="0.2">
      <c r="A809" s="12"/>
      <c r="B809" s="13"/>
      <c r="C809" s="123"/>
      <c r="D809" s="12"/>
      <c r="E809" s="55"/>
      <c r="F809" s="55"/>
      <c r="G809" s="55"/>
      <c r="H809" s="12"/>
      <c r="I809" s="12"/>
      <c r="J809" s="12"/>
      <c r="K809" s="12"/>
      <c r="L809" s="12"/>
      <c r="M809" s="12"/>
      <c r="N809" s="12"/>
      <c r="O809" s="12"/>
      <c r="P809" s="12"/>
      <c r="Q809" s="12"/>
      <c r="R809" s="11"/>
      <c r="S809" s="11"/>
      <c r="T809" s="11"/>
      <c r="U809" s="11"/>
      <c r="V809" s="12"/>
      <c r="W809" s="12"/>
      <c r="X809" s="12"/>
      <c r="Y809" s="12"/>
      <c r="Z809" s="12"/>
    </row>
    <row r="810" spans="1:26" x14ac:dyDescent="0.2">
      <c r="A810" s="12"/>
      <c r="B810" s="13"/>
      <c r="C810" s="123"/>
      <c r="D810" s="12"/>
      <c r="E810" s="55"/>
      <c r="F810" s="55"/>
      <c r="G810" s="55"/>
      <c r="H810" s="12"/>
      <c r="I810" s="12"/>
      <c r="J810" s="12"/>
      <c r="K810" s="12"/>
      <c r="L810" s="12"/>
      <c r="M810" s="12"/>
      <c r="N810" s="12"/>
      <c r="O810" s="12"/>
      <c r="P810" s="12"/>
      <c r="Q810" s="12"/>
      <c r="R810" s="11"/>
      <c r="S810" s="11"/>
      <c r="T810" s="11"/>
      <c r="U810" s="11"/>
      <c r="V810" s="12"/>
      <c r="W810" s="12"/>
      <c r="X810" s="12"/>
      <c r="Y810" s="12"/>
      <c r="Z810" s="12"/>
    </row>
    <row r="811" spans="1:26" x14ac:dyDescent="0.2">
      <c r="A811" s="12"/>
      <c r="B811" s="13"/>
      <c r="C811" s="123"/>
      <c r="D811" s="12"/>
      <c r="E811" s="55"/>
      <c r="F811" s="55"/>
      <c r="G811" s="55"/>
      <c r="H811" s="12"/>
      <c r="I811" s="12"/>
      <c r="J811" s="12"/>
      <c r="K811" s="12"/>
      <c r="L811" s="12"/>
      <c r="M811" s="12"/>
      <c r="N811" s="12"/>
      <c r="O811" s="12"/>
      <c r="P811" s="12"/>
      <c r="Q811" s="12"/>
      <c r="R811" s="11"/>
      <c r="S811" s="11"/>
      <c r="T811" s="11"/>
      <c r="U811" s="11"/>
      <c r="V811" s="12"/>
      <c r="W811" s="12"/>
      <c r="X811" s="12"/>
      <c r="Y811" s="12"/>
      <c r="Z811" s="12"/>
    </row>
    <row r="812" spans="1:26" x14ac:dyDescent="0.2">
      <c r="A812" s="12"/>
      <c r="B812" s="13"/>
      <c r="C812" s="123"/>
      <c r="D812" s="12"/>
      <c r="E812" s="55"/>
      <c r="F812" s="55"/>
      <c r="G812" s="55"/>
      <c r="H812" s="12"/>
      <c r="I812" s="12"/>
      <c r="J812" s="12"/>
      <c r="K812" s="12"/>
      <c r="L812" s="12"/>
      <c r="M812" s="12"/>
      <c r="N812" s="12"/>
      <c r="O812" s="12"/>
      <c r="P812" s="12"/>
      <c r="Q812" s="12"/>
      <c r="R812" s="11"/>
      <c r="S812" s="11"/>
      <c r="T812" s="11"/>
      <c r="U812" s="11"/>
      <c r="V812" s="12"/>
      <c r="W812" s="12"/>
      <c r="X812" s="12"/>
      <c r="Y812" s="12"/>
      <c r="Z812" s="12"/>
    </row>
    <row r="813" spans="1:26" x14ac:dyDescent="0.2">
      <c r="A813" s="12"/>
      <c r="B813" s="13"/>
      <c r="C813" s="123"/>
      <c r="D813" s="12"/>
      <c r="E813" s="55"/>
      <c r="F813" s="55"/>
      <c r="G813" s="55"/>
      <c r="H813" s="12"/>
      <c r="I813" s="12"/>
      <c r="J813" s="12"/>
      <c r="K813" s="12"/>
      <c r="L813" s="12"/>
      <c r="M813" s="12"/>
      <c r="N813" s="12"/>
      <c r="O813" s="12"/>
      <c r="P813" s="12"/>
      <c r="Q813" s="12"/>
      <c r="R813" s="11"/>
      <c r="S813" s="11"/>
      <c r="T813" s="11"/>
      <c r="U813" s="11"/>
      <c r="V813" s="12"/>
      <c r="W813" s="12"/>
      <c r="X813" s="12"/>
      <c r="Y813" s="12"/>
      <c r="Z813" s="12"/>
    </row>
    <row r="814" spans="1:26" x14ac:dyDescent="0.2">
      <c r="A814" s="12"/>
      <c r="B814" s="13"/>
      <c r="C814" s="123"/>
      <c r="D814" s="12"/>
      <c r="E814" s="55"/>
      <c r="F814" s="55"/>
      <c r="G814" s="55"/>
      <c r="H814" s="12"/>
      <c r="I814" s="12"/>
      <c r="J814" s="12"/>
      <c r="K814" s="12"/>
      <c r="L814" s="12"/>
      <c r="M814" s="12"/>
      <c r="N814" s="12"/>
      <c r="O814" s="12"/>
      <c r="P814" s="12"/>
      <c r="Q814" s="12"/>
      <c r="R814" s="11"/>
      <c r="S814" s="11"/>
      <c r="T814" s="11"/>
      <c r="U814" s="11"/>
      <c r="V814" s="12"/>
      <c r="W814" s="12"/>
      <c r="X814" s="12"/>
      <c r="Y814" s="12"/>
      <c r="Z814" s="12"/>
    </row>
    <row r="815" spans="1:26" x14ac:dyDescent="0.2">
      <c r="A815" s="12"/>
      <c r="B815" s="13"/>
      <c r="C815" s="123"/>
      <c r="D815" s="12"/>
      <c r="E815" s="55"/>
      <c r="F815" s="55"/>
      <c r="G815" s="55"/>
      <c r="H815" s="12"/>
      <c r="I815" s="12"/>
      <c r="J815" s="12"/>
      <c r="K815" s="12"/>
      <c r="L815" s="12"/>
      <c r="M815" s="12"/>
      <c r="N815" s="12"/>
      <c r="O815" s="12"/>
      <c r="P815" s="12"/>
      <c r="Q815" s="12"/>
      <c r="R815" s="11"/>
      <c r="S815" s="11"/>
      <c r="T815" s="11"/>
      <c r="U815" s="11"/>
      <c r="V815" s="12"/>
      <c r="W815" s="12"/>
      <c r="X815" s="12"/>
      <c r="Y815" s="12"/>
      <c r="Z815" s="12"/>
    </row>
    <row r="816" spans="1:26" x14ac:dyDescent="0.2">
      <c r="A816" s="12"/>
      <c r="B816" s="13"/>
      <c r="C816" s="123"/>
      <c r="D816" s="12"/>
      <c r="E816" s="55"/>
      <c r="F816" s="55"/>
      <c r="G816" s="55"/>
      <c r="H816" s="12"/>
      <c r="I816" s="12"/>
      <c r="J816" s="12"/>
      <c r="K816" s="12"/>
      <c r="L816" s="12"/>
      <c r="M816" s="12"/>
      <c r="N816" s="12"/>
      <c r="O816" s="12"/>
      <c r="P816" s="12"/>
      <c r="Q816" s="12"/>
      <c r="R816" s="11"/>
      <c r="S816" s="11"/>
      <c r="T816" s="11"/>
      <c r="U816" s="11"/>
      <c r="V816" s="12"/>
      <c r="W816" s="12"/>
      <c r="X816" s="12"/>
      <c r="Y816" s="12"/>
      <c r="Z816" s="12"/>
    </row>
    <row r="817" spans="1:26" x14ac:dyDescent="0.2">
      <c r="A817" s="12"/>
      <c r="B817" s="13"/>
      <c r="C817" s="123"/>
      <c r="D817" s="12"/>
      <c r="E817" s="55"/>
      <c r="F817" s="55"/>
      <c r="G817" s="55"/>
      <c r="H817" s="12"/>
      <c r="I817" s="12"/>
      <c r="J817" s="12"/>
      <c r="K817" s="12"/>
      <c r="L817" s="12"/>
      <c r="M817" s="12"/>
      <c r="N817" s="12"/>
      <c r="O817" s="12"/>
      <c r="P817" s="12"/>
      <c r="Q817" s="12"/>
      <c r="R817" s="11"/>
      <c r="S817" s="11"/>
      <c r="T817" s="11"/>
      <c r="U817" s="11"/>
      <c r="V817" s="12"/>
      <c r="W817" s="12"/>
      <c r="X817" s="12"/>
      <c r="Y817" s="12"/>
      <c r="Z817" s="12"/>
    </row>
    <row r="818" spans="1:26" x14ac:dyDescent="0.2">
      <c r="A818" s="12"/>
      <c r="B818" s="13"/>
      <c r="C818" s="123"/>
      <c r="D818" s="12"/>
      <c r="E818" s="55"/>
      <c r="F818" s="55"/>
      <c r="G818" s="55"/>
      <c r="H818" s="12"/>
      <c r="I818" s="12"/>
      <c r="J818" s="12"/>
      <c r="K818" s="12"/>
      <c r="L818" s="12"/>
      <c r="M818" s="12"/>
      <c r="N818" s="12"/>
      <c r="O818" s="12"/>
      <c r="P818" s="12"/>
      <c r="Q818" s="12"/>
      <c r="R818" s="11"/>
      <c r="S818" s="11"/>
      <c r="T818" s="11"/>
      <c r="U818" s="11"/>
      <c r="V818" s="12"/>
      <c r="W818" s="12"/>
      <c r="X818" s="12"/>
      <c r="Y818" s="12"/>
      <c r="Z818" s="12"/>
    </row>
    <row r="819" spans="1:26" x14ac:dyDescent="0.2">
      <c r="A819" s="12"/>
      <c r="B819" s="13"/>
      <c r="C819" s="123"/>
      <c r="D819" s="12"/>
      <c r="E819" s="55"/>
      <c r="F819" s="55"/>
      <c r="G819" s="55"/>
      <c r="H819" s="12"/>
      <c r="I819" s="12"/>
      <c r="J819" s="12"/>
      <c r="K819" s="12"/>
      <c r="L819" s="12"/>
      <c r="M819" s="12"/>
      <c r="N819" s="12"/>
      <c r="O819" s="12"/>
      <c r="P819" s="12"/>
      <c r="Q819" s="12"/>
      <c r="R819" s="11"/>
      <c r="S819" s="11"/>
      <c r="T819" s="11"/>
      <c r="U819" s="11"/>
      <c r="V819" s="12"/>
      <c r="W819" s="12"/>
      <c r="X819" s="12"/>
      <c r="Y819" s="12"/>
      <c r="Z819" s="12"/>
    </row>
    <row r="820" spans="1:26" x14ac:dyDescent="0.2">
      <c r="A820" s="12"/>
      <c r="B820" s="13"/>
      <c r="C820" s="123"/>
      <c r="D820" s="12"/>
      <c r="E820" s="55"/>
      <c r="F820" s="55"/>
      <c r="G820" s="55"/>
      <c r="H820" s="12"/>
      <c r="I820" s="12"/>
      <c r="J820" s="12"/>
      <c r="K820" s="12"/>
      <c r="L820" s="12"/>
      <c r="M820" s="12"/>
      <c r="N820" s="12"/>
      <c r="O820" s="12"/>
      <c r="P820" s="12"/>
      <c r="Q820" s="12"/>
      <c r="R820" s="11"/>
      <c r="S820" s="11"/>
      <c r="T820" s="11"/>
      <c r="U820" s="11"/>
      <c r="V820" s="12"/>
      <c r="W820" s="12"/>
      <c r="X820" s="12"/>
      <c r="Y820" s="12"/>
      <c r="Z820" s="12"/>
    </row>
    <row r="821" spans="1:26" x14ac:dyDescent="0.2">
      <c r="A821" s="12"/>
      <c r="B821" s="13"/>
      <c r="C821" s="123"/>
      <c r="D821" s="12"/>
      <c r="E821" s="55"/>
      <c r="F821" s="55"/>
      <c r="G821" s="55"/>
      <c r="H821" s="12"/>
      <c r="I821" s="12"/>
      <c r="J821" s="12"/>
      <c r="K821" s="12"/>
      <c r="L821" s="12"/>
      <c r="M821" s="12"/>
      <c r="N821" s="12"/>
      <c r="O821" s="12"/>
      <c r="P821" s="12"/>
      <c r="Q821" s="12"/>
      <c r="R821" s="11"/>
      <c r="S821" s="11"/>
      <c r="T821" s="11"/>
      <c r="U821" s="11"/>
      <c r="V821" s="12"/>
      <c r="W821" s="12"/>
      <c r="X821" s="12"/>
      <c r="Y821" s="12"/>
      <c r="Z821" s="12"/>
    </row>
    <row r="822" spans="1:26" x14ac:dyDescent="0.2">
      <c r="A822" s="12"/>
      <c r="B822" s="13"/>
      <c r="C822" s="123"/>
      <c r="D822" s="12"/>
      <c r="E822" s="55"/>
      <c r="F822" s="55"/>
      <c r="G822" s="55"/>
      <c r="H822" s="12"/>
      <c r="I822" s="12"/>
      <c r="J822" s="12"/>
      <c r="K822" s="12"/>
      <c r="L822" s="12"/>
      <c r="M822" s="12"/>
      <c r="N822" s="12"/>
      <c r="O822" s="12"/>
      <c r="P822" s="12"/>
      <c r="Q822" s="12"/>
      <c r="R822" s="11"/>
      <c r="S822" s="11"/>
      <c r="T822" s="11"/>
      <c r="U822" s="11"/>
      <c r="V822" s="12"/>
      <c r="W822" s="12"/>
      <c r="X822" s="12"/>
      <c r="Y822" s="12"/>
      <c r="Z822" s="12"/>
    </row>
    <row r="823" spans="1:26" x14ac:dyDescent="0.2">
      <c r="A823" s="12"/>
      <c r="B823" s="13"/>
      <c r="C823" s="123"/>
      <c r="D823" s="12"/>
      <c r="E823" s="55"/>
      <c r="F823" s="55"/>
      <c r="G823" s="55"/>
      <c r="H823" s="12"/>
      <c r="I823" s="12"/>
      <c r="J823" s="12"/>
      <c r="K823" s="12"/>
      <c r="L823" s="12"/>
      <c r="M823" s="12"/>
      <c r="N823" s="12"/>
      <c r="O823" s="12"/>
      <c r="P823" s="12"/>
      <c r="Q823" s="12"/>
      <c r="R823" s="11"/>
      <c r="S823" s="11"/>
      <c r="T823" s="11"/>
      <c r="U823" s="11"/>
      <c r="V823" s="12"/>
      <c r="W823" s="12"/>
      <c r="X823" s="12"/>
      <c r="Y823" s="12"/>
      <c r="Z823" s="12"/>
    </row>
    <row r="824" spans="1:26" x14ac:dyDescent="0.2">
      <c r="A824" s="12"/>
      <c r="B824" s="13"/>
      <c r="C824" s="123"/>
      <c r="D824" s="12"/>
      <c r="E824" s="55"/>
      <c r="F824" s="55"/>
      <c r="G824" s="55"/>
      <c r="H824" s="12"/>
      <c r="I824" s="12"/>
      <c r="J824" s="12"/>
      <c r="K824" s="12"/>
      <c r="L824" s="12"/>
      <c r="M824" s="12"/>
      <c r="N824" s="12"/>
      <c r="O824" s="12"/>
      <c r="P824" s="12"/>
      <c r="Q824" s="12"/>
      <c r="R824" s="11"/>
      <c r="S824" s="11"/>
      <c r="T824" s="11"/>
      <c r="U824" s="11"/>
      <c r="V824" s="12"/>
      <c r="W824" s="12"/>
      <c r="X824" s="12"/>
      <c r="Y824" s="12"/>
      <c r="Z824" s="12"/>
    </row>
    <row r="825" spans="1:26" x14ac:dyDescent="0.2">
      <c r="A825" s="12"/>
      <c r="B825" s="13"/>
      <c r="C825" s="123"/>
      <c r="D825" s="12"/>
      <c r="E825" s="55"/>
      <c r="F825" s="55"/>
      <c r="G825" s="55"/>
      <c r="H825" s="12"/>
      <c r="I825" s="12"/>
      <c r="J825" s="12"/>
      <c r="K825" s="12"/>
      <c r="L825" s="12"/>
      <c r="M825" s="12"/>
      <c r="N825" s="12"/>
      <c r="O825" s="12"/>
      <c r="P825" s="12"/>
      <c r="Q825" s="12"/>
      <c r="R825" s="11"/>
      <c r="S825" s="11"/>
      <c r="T825" s="11"/>
      <c r="U825" s="11"/>
      <c r="V825" s="12"/>
      <c r="W825" s="12"/>
      <c r="X825" s="12"/>
      <c r="Y825" s="12"/>
      <c r="Z825" s="12"/>
    </row>
    <row r="826" spans="1:26" x14ac:dyDescent="0.2">
      <c r="A826" s="12"/>
      <c r="B826" s="13"/>
      <c r="C826" s="123"/>
      <c r="D826" s="12"/>
      <c r="E826" s="55"/>
      <c r="F826" s="55"/>
      <c r="G826" s="55"/>
      <c r="H826" s="12"/>
      <c r="I826" s="12"/>
      <c r="J826" s="12"/>
      <c r="K826" s="12"/>
      <c r="L826" s="12"/>
      <c r="M826" s="12"/>
      <c r="N826" s="12"/>
      <c r="O826" s="12"/>
      <c r="P826" s="12"/>
      <c r="Q826" s="12"/>
      <c r="R826" s="11"/>
      <c r="S826" s="11"/>
      <c r="T826" s="11"/>
      <c r="U826" s="11"/>
      <c r="V826" s="12"/>
      <c r="W826" s="12"/>
      <c r="X826" s="12"/>
      <c r="Y826" s="12"/>
      <c r="Z826" s="12"/>
    </row>
    <row r="827" spans="1:26" x14ac:dyDescent="0.2">
      <c r="A827" s="12"/>
      <c r="B827" s="13"/>
      <c r="C827" s="123"/>
      <c r="D827" s="12"/>
      <c r="E827" s="55"/>
      <c r="F827" s="55"/>
      <c r="G827" s="55"/>
      <c r="H827" s="12"/>
      <c r="I827" s="12"/>
      <c r="J827" s="12"/>
      <c r="K827" s="12"/>
      <c r="L827" s="12"/>
      <c r="M827" s="12"/>
      <c r="N827" s="12"/>
      <c r="O827" s="12"/>
      <c r="P827" s="12"/>
      <c r="Q827" s="12"/>
      <c r="R827" s="11"/>
      <c r="S827" s="11"/>
      <c r="T827" s="11"/>
      <c r="U827" s="11"/>
      <c r="V827" s="12"/>
      <c r="W827" s="12"/>
      <c r="X827" s="12"/>
      <c r="Y827" s="12"/>
      <c r="Z827" s="12"/>
    </row>
    <row r="828" spans="1:26" x14ac:dyDescent="0.2">
      <c r="A828" s="12"/>
      <c r="B828" s="13"/>
      <c r="C828" s="123"/>
      <c r="D828" s="12"/>
      <c r="E828" s="55"/>
      <c r="F828" s="55"/>
      <c r="G828" s="55"/>
      <c r="H828" s="12"/>
      <c r="I828" s="12"/>
      <c r="J828" s="12"/>
      <c r="K828" s="12"/>
      <c r="L828" s="12"/>
      <c r="M828" s="12"/>
      <c r="N828" s="12"/>
      <c r="O828" s="12"/>
      <c r="P828" s="12"/>
      <c r="Q828" s="12"/>
      <c r="R828" s="11"/>
      <c r="S828" s="11"/>
      <c r="T828" s="11"/>
      <c r="U828" s="11"/>
      <c r="V828" s="12"/>
      <c r="W828" s="12"/>
      <c r="X828" s="12"/>
      <c r="Y828" s="12"/>
      <c r="Z828" s="12"/>
    </row>
    <row r="829" spans="1:26" x14ac:dyDescent="0.2">
      <c r="A829" s="12"/>
      <c r="B829" s="13"/>
      <c r="C829" s="123"/>
      <c r="D829" s="12"/>
      <c r="E829" s="55"/>
      <c r="F829" s="55"/>
      <c r="G829" s="55"/>
      <c r="H829" s="12"/>
      <c r="I829" s="12"/>
      <c r="J829" s="12"/>
      <c r="K829" s="12"/>
      <c r="L829" s="12"/>
      <c r="M829" s="12"/>
      <c r="N829" s="12"/>
      <c r="O829" s="12"/>
      <c r="P829" s="12"/>
      <c r="Q829" s="12"/>
      <c r="R829" s="11"/>
      <c r="S829" s="11"/>
      <c r="T829" s="11"/>
      <c r="U829" s="11"/>
      <c r="V829" s="12"/>
      <c r="W829" s="12"/>
      <c r="X829" s="12"/>
      <c r="Y829" s="12"/>
      <c r="Z829" s="12"/>
    </row>
    <row r="830" spans="1:26" x14ac:dyDescent="0.2">
      <c r="A830" s="12"/>
      <c r="B830" s="13"/>
      <c r="C830" s="123"/>
      <c r="D830" s="12"/>
      <c r="E830" s="55"/>
      <c r="F830" s="55"/>
      <c r="G830" s="55"/>
      <c r="H830" s="12"/>
      <c r="I830" s="12"/>
      <c r="J830" s="12"/>
      <c r="K830" s="12"/>
      <c r="L830" s="12"/>
      <c r="M830" s="12"/>
      <c r="N830" s="12"/>
      <c r="O830" s="12"/>
      <c r="P830" s="12"/>
      <c r="Q830" s="12"/>
      <c r="R830" s="11"/>
      <c r="S830" s="11"/>
      <c r="T830" s="11"/>
      <c r="U830" s="11"/>
      <c r="V830" s="12"/>
      <c r="W830" s="12"/>
      <c r="X830" s="12"/>
      <c r="Y830" s="12"/>
      <c r="Z830" s="12"/>
    </row>
    <row r="831" spans="1:26" x14ac:dyDescent="0.2">
      <c r="A831" s="12"/>
      <c r="B831" s="13"/>
      <c r="C831" s="123"/>
      <c r="D831" s="12"/>
      <c r="E831" s="55"/>
      <c r="F831" s="55"/>
      <c r="G831" s="55"/>
      <c r="H831" s="12"/>
      <c r="I831" s="12"/>
      <c r="J831" s="12"/>
      <c r="K831" s="12"/>
      <c r="L831" s="12"/>
      <c r="M831" s="12"/>
      <c r="N831" s="12"/>
      <c r="O831" s="12"/>
      <c r="P831" s="12"/>
      <c r="Q831" s="12"/>
      <c r="R831" s="11"/>
      <c r="S831" s="11"/>
      <c r="T831" s="11"/>
      <c r="U831" s="11"/>
      <c r="V831" s="12"/>
      <c r="W831" s="12"/>
      <c r="X831" s="12"/>
      <c r="Y831" s="12"/>
      <c r="Z831" s="12"/>
    </row>
    <row r="832" spans="1:26" x14ac:dyDescent="0.2">
      <c r="A832" s="12"/>
      <c r="B832" s="13"/>
      <c r="C832" s="123"/>
      <c r="D832" s="12"/>
      <c r="E832" s="55"/>
      <c r="F832" s="55"/>
      <c r="G832" s="55"/>
      <c r="H832" s="12"/>
      <c r="I832" s="12"/>
      <c r="J832" s="12"/>
      <c r="K832" s="12"/>
      <c r="L832" s="12"/>
      <c r="M832" s="12"/>
      <c r="N832" s="12"/>
      <c r="O832" s="12"/>
      <c r="P832" s="12"/>
      <c r="Q832" s="12"/>
      <c r="R832" s="11"/>
      <c r="S832" s="11"/>
      <c r="T832" s="11"/>
      <c r="U832" s="11"/>
      <c r="V832" s="12"/>
      <c r="W832" s="12"/>
      <c r="X832" s="12"/>
      <c r="Y832" s="12"/>
      <c r="Z832" s="12"/>
    </row>
    <row r="833" spans="1:26" x14ac:dyDescent="0.2">
      <c r="A833" s="12"/>
      <c r="B833" s="13"/>
      <c r="C833" s="123"/>
      <c r="D833" s="12"/>
      <c r="E833" s="55"/>
      <c r="F833" s="55"/>
      <c r="G833" s="55"/>
      <c r="H833" s="12"/>
      <c r="I833" s="12"/>
      <c r="J833" s="12"/>
      <c r="K833" s="12"/>
      <c r="L833" s="12"/>
      <c r="M833" s="12"/>
      <c r="N833" s="12"/>
      <c r="O833" s="12"/>
      <c r="P833" s="12"/>
      <c r="Q833" s="12"/>
      <c r="R833" s="11"/>
      <c r="S833" s="11"/>
      <c r="T833" s="11"/>
      <c r="U833" s="11"/>
      <c r="V833" s="12"/>
      <c r="W833" s="12"/>
      <c r="X833" s="12"/>
      <c r="Y833" s="12"/>
      <c r="Z833" s="12"/>
    </row>
    <row r="834" spans="1:26" x14ac:dyDescent="0.2">
      <c r="A834" s="12"/>
      <c r="B834" s="13"/>
      <c r="C834" s="123"/>
      <c r="D834" s="12"/>
      <c r="E834" s="55"/>
      <c r="F834" s="55"/>
      <c r="G834" s="55"/>
      <c r="H834" s="12"/>
      <c r="I834" s="12"/>
      <c r="J834" s="12"/>
      <c r="K834" s="12"/>
      <c r="L834" s="12"/>
      <c r="M834" s="12"/>
      <c r="N834" s="12"/>
      <c r="O834" s="12"/>
      <c r="P834" s="12"/>
      <c r="Q834" s="12"/>
      <c r="R834" s="11"/>
      <c r="S834" s="11"/>
      <c r="T834" s="11"/>
      <c r="U834" s="11"/>
      <c r="V834" s="12"/>
      <c r="W834" s="12"/>
      <c r="X834" s="12"/>
      <c r="Y834" s="12"/>
      <c r="Z834" s="12"/>
    </row>
    <row r="835" spans="1:26" x14ac:dyDescent="0.2">
      <c r="A835" s="12"/>
      <c r="B835" s="13"/>
      <c r="C835" s="123"/>
      <c r="D835" s="12"/>
      <c r="E835" s="55"/>
      <c r="F835" s="55"/>
      <c r="G835" s="55"/>
      <c r="H835" s="12"/>
      <c r="I835" s="12"/>
      <c r="J835" s="12"/>
      <c r="K835" s="12"/>
      <c r="L835" s="12"/>
      <c r="M835" s="12"/>
      <c r="N835" s="12"/>
      <c r="O835" s="12"/>
      <c r="P835" s="12"/>
      <c r="Q835" s="12"/>
      <c r="R835" s="11"/>
      <c r="S835" s="11"/>
      <c r="T835" s="11"/>
      <c r="U835" s="11"/>
      <c r="V835" s="12"/>
      <c r="W835" s="12"/>
      <c r="X835" s="12"/>
      <c r="Y835" s="12"/>
      <c r="Z835" s="12"/>
    </row>
    <row r="836" spans="1:26" x14ac:dyDescent="0.2">
      <c r="A836" s="12"/>
      <c r="B836" s="13"/>
      <c r="C836" s="123"/>
      <c r="D836" s="12"/>
      <c r="E836" s="55"/>
      <c r="F836" s="55"/>
      <c r="G836" s="55"/>
      <c r="H836" s="12"/>
      <c r="I836" s="12"/>
      <c r="J836" s="12"/>
      <c r="K836" s="12"/>
      <c r="L836" s="12"/>
      <c r="M836" s="12"/>
      <c r="N836" s="12"/>
      <c r="O836" s="12"/>
      <c r="P836" s="12"/>
      <c r="Q836" s="12"/>
      <c r="R836" s="11"/>
      <c r="S836" s="11"/>
      <c r="T836" s="11"/>
      <c r="U836" s="11"/>
      <c r="V836" s="12"/>
      <c r="W836" s="12"/>
      <c r="X836" s="12"/>
      <c r="Y836" s="12"/>
      <c r="Z836" s="12"/>
    </row>
    <row r="837" spans="1:26" x14ac:dyDescent="0.2">
      <c r="A837" s="12"/>
      <c r="B837" s="13"/>
      <c r="C837" s="123"/>
      <c r="D837" s="12"/>
      <c r="E837" s="55"/>
      <c r="F837" s="55"/>
      <c r="G837" s="55"/>
      <c r="H837" s="12"/>
      <c r="I837" s="12"/>
      <c r="J837" s="12"/>
      <c r="K837" s="12"/>
      <c r="L837" s="12"/>
      <c r="M837" s="12"/>
      <c r="N837" s="12"/>
      <c r="O837" s="12"/>
      <c r="P837" s="12"/>
      <c r="Q837" s="12"/>
      <c r="R837" s="11"/>
      <c r="S837" s="11"/>
      <c r="T837" s="11"/>
      <c r="U837" s="11"/>
      <c r="V837" s="12"/>
      <c r="W837" s="12"/>
      <c r="X837" s="12"/>
      <c r="Y837" s="12"/>
      <c r="Z837" s="12"/>
    </row>
    <row r="838" spans="1:26" x14ac:dyDescent="0.2">
      <c r="A838" s="12"/>
      <c r="B838" s="13"/>
      <c r="C838" s="123"/>
      <c r="D838" s="12"/>
      <c r="E838" s="55"/>
      <c r="F838" s="55"/>
      <c r="G838" s="55"/>
      <c r="H838" s="12"/>
      <c r="I838" s="12"/>
      <c r="J838" s="12"/>
      <c r="K838" s="12"/>
      <c r="L838" s="12"/>
      <c r="M838" s="12"/>
      <c r="N838" s="12"/>
      <c r="O838" s="12"/>
      <c r="P838" s="12"/>
      <c r="Q838" s="12"/>
      <c r="R838" s="11"/>
      <c r="S838" s="11"/>
      <c r="T838" s="11"/>
      <c r="U838" s="11"/>
      <c r="V838" s="12"/>
      <c r="W838" s="12"/>
      <c r="X838" s="12"/>
      <c r="Y838" s="12"/>
      <c r="Z838" s="12"/>
    </row>
    <row r="839" spans="1:26" x14ac:dyDescent="0.2">
      <c r="A839" s="12"/>
      <c r="B839" s="13"/>
      <c r="C839" s="123"/>
      <c r="D839" s="12"/>
      <c r="E839" s="55"/>
      <c r="F839" s="55"/>
      <c r="G839" s="55"/>
      <c r="H839" s="12"/>
      <c r="I839" s="12"/>
      <c r="J839" s="12"/>
      <c r="K839" s="12"/>
      <c r="L839" s="12"/>
      <c r="M839" s="12"/>
      <c r="N839" s="12"/>
      <c r="O839" s="12"/>
      <c r="P839" s="12"/>
      <c r="Q839" s="12"/>
      <c r="R839" s="11"/>
      <c r="S839" s="11"/>
      <c r="T839" s="11"/>
      <c r="U839" s="11"/>
      <c r="V839" s="12"/>
      <c r="W839" s="12"/>
      <c r="X839" s="12"/>
      <c r="Y839" s="12"/>
      <c r="Z839" s="12"/>
    </row>
    <row r="840" spans="1:26" x14ac:dyDescent="0.2">
      <c r="A840" s="12"/>
      <c r="B840" s="13"/>
      <c r="C840" s="123"/>
      <c r="D840" s="12"/>
      <c r="E840" s="55"/>
      <c r="F840" s="55"/>
      <c r="G840" s="55"/>
      <c r="H840" s="12"/>
      <c r="I840" s="12"/>
      <c r="J840" s="12"/>
      <c r="K840" s="12"/>
      <c r="L840" s="12"/>
      <c r="M840" s="12"/>
      <c r="N840" s="12"/>
      <c r="O840" s="12"/>
      <c r="P840" s="12"/>
      <c r="Q840" s="12"/>
      <c r="R840" s="11"/>
      <c r="S840" s="11"/>
      <c r="T840" s="11"/>
      <c r="U840" s="11"/>
      <c r="V840" s="12"/>
      <c r="W840" s="12"/>
      <c r="X840" s="12"/>
      <c r="Y840" s="12"/>
      <c r="Z840" s="12"/>
    </row>
    <row r="841" spans="1:26" x14ac:dyDescent="0.2">
      <c r="A841" s="12"/>
      <c r="B841" s="13"/>
      <c r="C841" s="123"/>
      <c r="D841" s="12"/>
      <c r="E841" s="55"/>
      <c r="F841" s="55"/>
      <c r="G841" s="55"/>
      <c r="H841" s="12"/>
      <c r="I841" s="12"/>
      <c r="J841" s="12"/>
      <c r="K841" s="12"/>
      <c r="L841" s="12"/>
      <c r="M841" s="12"/>
      <c r="N841" s="12"/>
      <c r="O841" s="12"/>
      <c r="P841" s="12"/>
      <c r="Q841" s="12"/>
      <c r="R841" s="11"/>
      <c r="S841" s="11"/>
      <c r="T841" s="11"/>
      <c r="U841" s="11"/>
      <c r="V841" s="12"/>
      <c r="W841" s="12"/>
      <c r="X841" s="12"/>
      <c r="Y841" s="12"/>
      <c r="Z841" s="12"/>
    </row>
    <row r="842" spans="1:26" x14ac:dyDescent="0.2">
      <c r="A842" s="12"/>
      <c r="B842" s="13"/>
      <c r="C842" s="123"/>
      <c r="D842" s="12"/>
      <c r="E842" s="55"/>
      <c r="F842" s="55"/>
      <c r="G842" s="55"/>
      <c r="H842" s="12"/>
      <c r="I842" s="12"/>
      <c r="J842" s="12"/>
      <c r="K842" s="12"/>
      <c r="L842" s="12"/>
      <c r="M842" s="12"/>
      <c r="N842" s="12"/>
      <c r="O842" s="12"/>
      <c r="P842" s="12"/>
      <c r="Q842" s="12"/>
      <c r="R842" s="11"/>
      <c r="S842" s="11"/>
      <c r="T842" s="11"/>
      <c r="U842" s="11"/>
      <c r="V842" s="12"/>
      <c r="W842" s="12"/>
      <c r="X842" s="12"/>
      <c r="Y842" s="12"/>
      <c r="Z842" s="12"/>
    </row>
    <row r="843" spans="1:26" x14ac:dyDescent="0.2">
      <c r="A843" s="12"/>
      <c r="B843" s="13"/>
      <c r="C843" s="123"/>
      <c r="D843" s="12"/>
      <c r="E843" s="55"/>
      <c r="F843" s="55"/>
      <c r="G843" s="55"/>
      <c r="H843" s="12"/>
      <c r="I843" s="12"/>
      <c r="J843" s="12"/>
      <c r="K843" s="12"/>
      <c r="L843" s="12"/>
      <c r="M843" s="12"/>
      <c r="N843" s="12"/>
      <c r="O843" s="12"/>
      <c r="P843" s="12"/>
      <c r="Q843" s="12"/>
      <c r="R843" s="11"/>
      <c r="S843" s="11"/>
      <c r="T843" s="11"/>
      <c r="U843" s="11"/>
      <c r="V843" s="12"/>
      <c r="W843" s="12"/>
      <c r="X843" s="12"/>
      <c r="Y843" s="12"/>
      <c r="Z843" s="12"/>
    </row>
    <row r="844" spans="1:26" x14ac:dyDescent="0.2">
      <c r="A844" s="12"/>
      <c r="B844" s="13"/>
      <c r="C844" s="123"/>
      <c r="D844" s="12"/>
      <c r="E844" s="55"/>
      <c r="F844" s="55"/>
      <c r="G844" s="55"/>
      <c r="H844" s="12"/>
      <c r="I844" s="12"/>
      <c r="J844" s="12"/>
      <c r="K844" s="12"/>
      <c r="L844" s="12"/>
      <c r="M844" s="12"/>
      <c r="N844" s="12"/>
      <c r="O844" s="12"/>
      <c r="P844" s="12"/>
      <c r="Q844" s="12"/>
      <c r="R844" s="11"/>
      <c r="S844" s="11"/>
      <c r="T844" s="11"/>
      <c r="U844" s="11"/>
      <c r="V844" s="12"/>
      <c r="W844" s="12"/>
      <c r="X844" s="12"/>
      <c r="Y844" s="12"/>
      <c r="Z844" s="12"/>
    </row>
    <row r="845" spans="1:26" x14ac:dyDescent="0.2">
      <c r="A845" s="12"/>
      <c r="B845" s="13"/>
      <c r="C845" s="123"/>
      <c r="D845" s="12"/>
      <c r="E845" s="55"/>
      <c r="F845" s="55"/>
      <c r="G845" s="55"/>
      <c r="H845" s="12"/>
      <c r="I845" s="12"/>
      <c r="J845" s="12"/>
      <c r="K845" s="12"/>
      <c r="L845" s="12"/>
      <c r="M845" s="12"/>
      <c r="N845" s="12"/>
      <c r="O845" s="12"/>
      <c r="P845" s="12"/>
      <c r="Q845" s="12"/>
      <c r="R845" s="11"/>
      <c r="S845" s="11"/>
      <c r="T845" s="11"/>
      <c r="U845" s="11"/>
      <c r="V845" s="12"/>
      <c r="W845" s="12"/>
      <c r="X845" s="12"/>
      <c r="Y845" s="12"/>
      <c r="Z845" s="12"/>
    </row>
    <row r="846" spans="1:26" x14ac:dyDescent="0.2">
      <c r="A846" s="12"/>
      <c r="B846" s="13"/>
      <c r="C846" s="123"/>
      <c r="D846" s="12"/>
      <c r="E846" s="55"/>
      <c r="F846" s="55"/>
      <c r="G846" s="55"/>
      <c r="H846" s="12"/>
      <c r="I846" s="12"/>
      <c r="J846" s="12"/>
      <c r="K846" s="12"/>
      <c r="L846" s="12"/>
      <c r="M846" s="12"/>
      <c r="N846" s="12"/>
      <c r="O846" s="12"/>
      <c r="P846" s="12"/>
      <c r="Q846" s="12"/>
      <c r="R846" s="11"/>
      <c r="S846" s="11"/>
      <c r="T846" s="11"/>
      <c r="U846" s="11"/>
      <c r="V846" s="12"/>
      <c r="W846" s="12"/>
      <c r="X846" s="12"/>
      <c r="Y846" s="12"/>
      <c r="Z846" s="12"/>
    </row>
    <row r="847" spans="1:26" x14ac:dyDescent="0.2">
      <c r="A847" s="12"/>
      <c r="B847" s="13"/>
      <c r="C847" s="123"/>
      <c r="D847" s="12"/>
      <c r="E847" s="55"/>
      <c r="F847" s="55"/>
      <c r="G847" s="55"/>
      <c r="H847" s="12"/>
      <c r="I847" s="12"/>
      <c r="J847" s="12"/>
      <c r="K847" s="12"/>
      <c r="L847" s="12"/>
      <c r="M847" s="12"/>
      <c r="N847" s="12"/>
      <c r="O847" s="12"/>
      <c r="P847" s="12"/>
      <c r="Q847" s="12"/>
      <c r="R847" s="11"/>
      <c r="S847" s="11"/>
      <c r="T847" s="11"/>
      <c r="U847" s="11"/>
      <c r="V847" s="12"/>
      <c r="W847" s="12"/>
      <c r="X847" s="12"/>
      <c r="Y847" s="12"/>
      <c r="Z847" s="12"/>
    </row>
    <row r="848" spans="1:26" x14ac:dyDescent="0.2">
      <c r="A848" s="12"/>
      <c r="B848" s="13"/>
      <c r="C848" s="123"/>
      <c r="D848" s="12"/>
      <c r="E848" s="55"/>
      <c r="F848" s="55"/>
      <c r="G848" s="55"/>
      <c r="H848" s="12"/>
      <c r="I848" s="12"/>
      <c r="J848" s="12"/>
      <c r="K848" s="12"/>
      <c r="L848" s="12"/>
      <c r="M848" s="12"/>
      <c r="N848" s="12"/>
      <c r="O848" s="12"/>
      <c r="P848" s="12"/>
      <c r="Q848" s="12"/>
      <c r="R848" s="11"/>
      <c r="S848" s="11"/>
      <c r="T848" s="11"/>
      <c r="U848" s="11"/>
      <c r="V848" s="12"/>
      <c r="W848" s="12"/>
      <c r="X848" s="12"/>
      <c r="Y848" s="12"/>
      <c r="Z848" s="12"/>
    </row>
    <row r="849" spans="1:26" x14ac:dyDescent="0.2">
      <c r="A849" s="12"/>
      <c r="B849" s="13"/>
      <c r="C849" s="123"/>
      <c r="D849" s="12"/>
      <c r="E849" s="55"/>
      <c r="F849" s="55"/>
      <c r="G849" s="55"/>
      <c r="H849" s="12"/>
      <c r="I849" s="12"/>
      <c r="J849" s="12"/>
      <c r="K849" s="12"/>
      <c r="L849" s="12"/>
      <c r="M849" s="12"/>
      <c r="N849" s="12"/>
      <c r="O849" s="12"/>
      <c r="P849" s="12"/>
      <c r="Q849" s="12"/>
      <c r="R849" s="11"/>
      <c r="S849" s="11"/>
      <c r="T849" s="11"/>
      <c r="U849" s="11"/>
      <c r="V849" s="12"/>
      <c r="W849" s="12"/>
      <c r="X849" s="12"/>
      <c r="Y849" s="12"/>
      <c r="Z849" s="12"/>
    </row>
    <row r="850" spans="1:26" x14ac:dyDescent="0.2">
      <c r="A850" s="12"/>
      <c r="B850" s="13"/>
      <c r="C850" s="123"/>
      <c r="D850" s="12"/>
      <c r="E850" s="55"/>
      <c r="F850" s="55"/>
      <c r="G850" s="55"/>
      <c r="H850" s="12"/>
      <c r="I850" s="12"/>
      <c r="J850" s="12"/>
      <c r="K850" s="12"/>
      <c r="L850" s="12"/>
      <c r="M850" s="12"/>
      <c r="N850" s="12"/>
      <c r="O850" s="12"/>
      <c r="P850" s="12"/>
      <c r="Q850" s="12"/>
      <c r="R850" s="11"/>
      <c r="S850" s="11"/>
      <c r="T850" s="11"/>
      <c r="U850" s="11"/>
      <c r="V850" s="12"/>
      <c r="W850" s="12"/>
      <c r="X850" s="12"/>
      <c r="Y850" s="12"/>
      <c r="Z850" s="12"/>
    </row>
    <row r="851" spans="1:26" x14ac:dyDescent="0.2">
      <c r="A851" s="12"/>
      <c r="B851" s="13"/>
      <c r="C851" s="123"/>
      <c r="D851" s="12"/>
      <c r="E851" s="55"/>
      <c r="F851" s="55"/>
      <c r="G851" s="55"/>
      <c r="H851" s="12"/>
      <c r="I851" s="12"/>
      <c r="J851" s="12"/>
      <c r="K851" s="12"/>
      <c r="L851" s="12"/>
      <c r="M851" s="12"/>
      <c r="N851" s="12"/>
      <c r="O851" s="12"/>
      <c r="P851" s="12"/>
      <c r="Q851" s="12"/>
      <c r="R851" s="11"/>
      <c r="S851" s="11"/>
      <c r="T851" s="11"/>
      <c r="U851" s="11"/>
      <c r="V851" s="12"/>
      <c r="W851" s="12"/>
      <c r="X851" s="12"/>
      <c r="Y851" s="12"/>
      <c r="Z851" s="12"/>
    </row>
    <row r="852" spans="1:26" x14ac:dyDescent="0.2">
      <c r="A852" s="12"/>
      <c r="B852" s="13"/>
      <c r="C852" s="123"/>
      <c r="D852" s="12"/>
      <c r="E852" s="55"/>
      <c r="F852" s="55"/>
      <c r="G852" s="55"/>
      <c r="H852" s="12"/>
      <c r="I852" s="12"/>
      <c r="J852" s="12"/>
      <c r="K852" s="12"/>
      <c r="L852" s="12"/>
      <c r="M852" s="12"/>
      <c r="N852" s="12"/>
      <c r="O852" s="12"/>
      <c r="P852" s="12"/>
      <c r="Q852" s="12"/>
      <c r="R852" s="11"/>
      <c r="S852" s="11"/>
      <c r="T852" s="11"/>
      <c r="U852" s="11"/>
      <c r="V852" s="12"/>
      <c r="W852" s="12"/>
      <c r="X852" s="12"/>
      <c r="Y852" s="12"/>
      <c r="Z852" s="12"/>
    </row>
    <row r="853" spans="1:26" x14ac:dyDescent="0.2">
      <c r="A853" s="12"/>
      <c r="B853" s="13"/>
      <c r="C853" s="123"/>
      <c r="D853" s="12"/>
      <c r="E853" s="55"/>
      <c r="F853" s="55"/>
      <c r="G853" s="55"/>
      <c r="H853" s="12"/>
      <c r="I853" s="12"/>
      <c r="J853" s="12"/>
      <c r="K853" s="12"/>
      <c r="L853" s="12"/>
      <c r="M853" s="12"/>
      <c r="N853" s="12"/>
      <c r="O853" s="12"/>
      <c r="P853" s="12"/>
      <c r="Q853" s="12"/>
      <c r="R853" s="11"/>
      <c r="S853" s="11"/>
      <c r="T853" s="11"/>
      <c r="U853" s="11"/>
      <c r="V853" s="12"/>
      <c r="W853" s="12"/>
      <c r="X853" s="12"/>
      <c r="Y853" s="12"/>
      <c r="Z853" s="12"/>
    </row>
    <row r="854" spans="1:26" x14ac:dyDescent="0.2">
      <c r="A854" s="12"/>
      <c r="B854" s="13"/>
      <c r="C854" s="123"/>
      <c r="D854" s="12"/>
      <c r="E854" s="55"/>
      <c r="F854" s="55"/>
      <c r="G854" s="55"/>
      <c r="H854" s="12"/>
      <c r="I854" s="12"/>
      <c r="J854" s="12"/>
      <c r="K854" s="12"/>
      <c r="L854" s="12"/>
      <c r="M854" s="12"/>
      <c r="N854" s="12"/>
      <c r="O854" s="12"/>
      <c r="P854" s="12"/>
      <c r="Q854" s="12"/>
      <c r="R854" s="11"/>
      <c r="S854" s="11"/>
      <c r="T854" s="11"/>
      <c r="U854" s="11"/>
      <c r="V854" s="12"/>
      <c r="W854" s="12"/>
      <c r="X854" s="12"/>
      <c r="Y854" s="12"/>
      <c r="Z854" s="12"/>
    </row>
    <row r="855" spans="1:26" x14ac:dyDescent="0.2">
      <c r="A855" s="12"/>
      <c r="B855" s="13"/>
      <c r="C855" s="123"/>
      <c r="D855" s="12"/>
      <c r="E855" s="55"/>
      <c r="F855" s="55"/>
      <c r="G855" s="55"/>
      <c r="H855" s="12"/>
      <c r="I855" s="12"/>
      <c r="J855" s="12"/>
      <c r="K855" s="12"/>
      <c r="L855" s="12"/>
      <c r="M855" s="12"/>
      <c r="N855" s="12"/>
      <c r="O855" s="12"/>
      <c r="P855" s="12"/>
      <c r="Q855" s="12"/>
      <c r="R855" s="11"/>
      <c r="S855" s="11"/>
      <c r="T855" s="11"/>
      <c r="U855" s="11"/>
      <c r="V855" s="12"/>
      <c r="W855" s="12"/>
      <c r="X855" s="12"/>
      <c r="Y855" s="12"/>
      <c r="Z855" s="12"/>
    </row>
    <row r="856" spans="1:26" x14ac:dyDescent="0.2">
      <c r="A856" s="12"/>
      <c r="B856" s="13"/>
      <c r="C856" s="123"/>
      <c r="D856" s="12"/>
      <c r="E856" s="55"/>
      <c r="F856" s="55"/>
      <c r="G856" s="55"/>
      <c r="H856" s="12"/>
      <c r="I856" s="12"/>
      <c r="J856" s="12"/>
      <c r="K856" s="12"/>
      <c r="L856" s="12"/>
      <c r="M856" s="12"/>
      <c r="N856" s="12"/>
      <c r="O856" s="12"/>
      <c r="P856" s="12"/>
      <c r="Q856" s="12"/>
      <c r="R856" s="11"/>
      <c r="S856" s="11"/>
      <c r="T856" s="11"/>
      <c r="U856" s="11"/>
      <c r="V856" s="12"/>
      <c r="W856" s="12"/>
      <c r="X856" s="12"/>
      <c r="Y856" s="12"/>
      <c r="Z856" s="12"/>
    </row>
    <row r="857" spans="1:26" x14ac:dyDescent="0.2">
      <c r="A857" s="12"/>
      <c r="B857" s="13"/>
      <c r="C857" s="123"/>
      <c r="D857" s="12"/>
      <c r="E857" s="55"/>
      <c r="F857" s="55"/>
      <c r="G857" s="55"/>
      <c r="H857" s="12"/>
      <c r="I857" s="12"/>
      <c r="J857" s="12"/>
      <c r="K857" s="12"/>
      <c r="L857" s="12"/>
      <c r="M857" s="12"/>
      <c r="N857" s="12"/>
      <c r="O857" s="12"/>
      <c r="P857" s="12"/>
      <c r="Q857" s="12"/>
      <c r="R857" s="11"/>
      <c r="S857" s="11"/>
      <c r="T857" s="11"/>
      <c r="U857" s="11"/>
      <c r="V857" s="12"/>
      <c r="W857" s="12"/>
      <c r="X857" s="12"/>
      <c r="Y857" s="12"/>
      <c r="Z857" s="12"/>
    </row>
    <row r="858" spans="1:26" x14ac:dyDescent="0.2">
      <c r="A858" s="12"/>
      <c r="B858" s="13"/>
      <c r="C858" s="123"/>
      <c r="D858" s="12"/>
      <c r="E858" s="55"/>
      <c r="F858" s="55"/>
      <c r="G858" s="55"/>
      <c r="H858" s="12"/>
      <c r="I858" s="12"/>
      <c r="J858" s="12"/>
      <c r="K858" s="12"/>
      <c r="L858" s="12"/>
      <c r="M858" s="12"/>
      <c r="N858" s="12"/>
      <c r="O858" s="12"/>
      <c r="P858" s="12"/>
      <c r="Q858" s="12"/>
      <c r="R858" s="11"/>
      <c r="S858" s="11"/>
      <c r="T858" s="11"/>
      <c r="U858" s="11"/>
      <c r="V858" s="12"/>
      <c r="W858" s="12"/>
      <c r="X858" s="12"/>
      <c r="Y858" s="12"/>
      <c r="Z858" s="12"/>
    </row>
    <row r="859" spans="1:26" x14ac:dyDescent="0.2">
      <c r="A859" s="12"/>
      <c r="B859" s="13"/>
      <c r="C859" s="123"/>
      <c r="D859" s="12"/>
      <c r="E859" s="55"/>
      <c r="F859" s="55"/>
      <c r="G859" s="55"/>
      <c r="H859" s="12"/>
      <c r="I859" s="12"/>
      <c r="J859" s="12"/>
      <c r="K859" s="12"/>
      <c r="L859" s="12"/>
      <c r="M859" s="12"/>
      <c r="N859" s="12"/>
      <c r="O859" s="12"/>
      <c r="P859" s="12"/>
      <c r="Q859" s="12"/>
      <c r="R859" s="11"/>
      <c r="S859" s="11"/>
      <c r="T859" s="11"/>
      <c r="U859" s="11"/>
      <c r="V859" s="12"/>
      <c r="W859" s="12"/>
      <c r="X859" s="12"/>
      <c r="Y859" s="12"/>
      <c r="Z859" s="12"/>
    </row>
    <row r="860" spans="1:26" x14ac:dyDescent="0.2">
      <c r="A860" s="12"/>
      <c r="B860" s="13"/>
      <c r="C860" s="123"/>
      <c r="D860" s="12"/>
      <c r="E860" s="55"/>
      <c r="F860" s="55"/>
      <c r="G860" s="55"/>
      <c r="H860" s="12"/>
      <c r="I860" s="12"/>
      <c r="J860" s="12"/>
      <c r="K860" s="12"/>
      <c r="L860" s="12"/>
      <c r="M860" s="12"/>
      <c r="N860" s="12"/>
      <c r="O860" s="12"/>
      <c r="P860" s="12"/>
      <c r="Q860" s="12"/>
      <c r="R860" s="11"/>
      <c r="S860" s="11"/>
      <c r="T860" s="11"/>
      <c r="U860" s="11"/>
      <c r="V860" s="12"/>
      <c r="W860" s="12"/>
      <c r="X860" s="12"/>
      <c r="Y860" s="12"/>
      <c r="Z860" s="12"/>
    </row>
    <row r="861" spans="1:26" x14ac:dyDescent="0.2">
      <c r="A861" s="12"/>
      <c r="B861" s="13"/>
      <c r="C861" s="123"/>
      <c r="D861" s="12"/>
      <c r="E861" s="55"/>
      <c r="F861" s="55"/>
      <c r="G861" s="55"/>
      <c r="H861" s="12"/>
      <c r="I861" s="12"/>
      <c r="J861" s="12"/>
      <c r="K861" s="12"/>
      <c r="L861" s="12"/>
      <c r="M861" s="12"/>
      <c r="N861" s="12"/>
      <c r="O861" s="12"/>
      <c r="P861" s="12"/>
      <c r="Q861" s="12"/>
      <c r="R861" s="11"/>
      <c r="S861" s="11"/>
      <c r="T861" s="11"/>
      <c r="U861" s="11"/>
      <c r="V861" s="12"/>
      <c r="W861" s="12"/>
      <c r="X861" s="12"/>
      <c r="Y861" s="12"/>
      <c r="Z861" s="12"/>
    </row>
    <row r="862" spans="1:26" x14ac:dyDescent="0.2">
      <c r="A862" s="12"/>
      <c r="B862" s="13"/>
      <c r="C862" s="123"/>
      <c r="D862" s="12"/>
      <c r="E862" s="55"/>
      <c r="F862" s="55"/>
      <c r="G862" s="55"/>
      <c r="H862" s="12"/>
      <c r="I862" s="12"/>
      <c r="J862" s="12"/>
      <c r="K862" s="12"/>
      <c r="L862" s="12"/>
      <c r="M862" s="12"/>
      <c r="N862" s="12"/>
      <c r="O862" s="12"/>
      <c r="P862" s="12"/>
      <c r="Q862" s="12"/>
      <c r="R862" s="11"/>
      <c r="S862" s="11"/>
      <c r="T862" s="11"/>
      <c r="U862" s="11"/>
      <c r="V862" s="12"/>
      <c r="W862" s="12"/>
      <c r="X862" s="12"/>
      <c r="Y862" s="12"/>
      <c r="Z862" s="12"/>
    </row>
    <row r="863" spans="1:26" x14ac:dyDescent="0.2">
      <c r="A863" s="12"/>
      <c r="B863" s="13"/>
      <c r="C863" s="123"/>
      <c r="D863" s="12"/>
      <c r="E863" s="55"/>
      <c r="F863" s="55"/>
      <c r="G863" s="55"/>
      <c r="H863" s="12"/>
      <c r="I863" s="12"/>
      <c r="J863" s="12"/>
      <c r="K863" s="12"/>
      <c r="L863" s="12"/>
      <c r="M863" s="12"/>
      <c r="N863" s="12"/>
      <c r="O863" s="12"/>
      <c r="P863" s="12"/>
      <c r="Q863" s="12"/>
      <c r="R863" s="11"/>
      <c r="S863" s="11"/>
      <c r="T863" s="11"/>
      <c r="U863" s="11"/>
      <c r="V863" s="12"/>
      <c r="W863" s="12"/>
      <c r="X863" s="12"/>
      <c r="Y863" s="12"/>
      <c r="Z863" s="12"/>
    </row>
    <row r="864" spans="1:26" x14ac:dyDescent="0.2">
      <c r="A864" s="12"/>
      <c r="B864" s="13"/>
      <c r="C864" s="123"/>
      <c r="D864" s="12"/>
      <c r="E864" s="55"/>
      <c r="F864" s="55"/>
      <c r="G864" s="55"/>
      <c r="H864" s="12"/>
      <c r="I864" s="12"/>
      <c r="J864" s="12"/>
      <c r="K864" s="12"/>
      <c r="L864" s="12"/>
      <c r="M864" s="12"/>
      <c r="N864" s="12"/>
      <c r="O864" s="12"/>
      <c r="P864" s="12"/>
      <c r="Q864" s="12"/>
      <c r="R864" s="11"/>
      <c r="S864" s="11"/>
      <c r="T864" s="11"/>
      <c r="U864" s="11"/>
      <c r="V864" s="12"/>
      <c r="W864" s="12"/>
      <c r="X864" s="12"/>
      <c r="Y864" s="12"/>
      <c r="Z864" s="12"/>
    </row>
    <row r="865" spans="1:26" x14ac:dyDescent="0.2">
      <c r="A865" s="12"/>
      <c r="B865" s="13"/>
      <c r="C865" s="123"/>
      <c r="D865" s="12"/>
      <c r="E865" s="55"/>
      <c r="F865" s="55"/>
      <c r="G865" s="55"/>
      <c r="H865" s="12"/>
      <c r="I865" s="12"/>
      <c r="J865" s="12"/>
      <c r="K865" s="12"/>
      <c r="L865" s="12"/>
      <c r="M865" s="12"/>
      <c r="N865" s="12"/>
      <c r="O865" s="12"/>
      <c r="P865" s="12"/>
      <c r="Q865" s="12"/>
      <c r="R865" s="11"/>
      <c r="S865" s="11"/>
      <c r="T865" s="11"/>
      <c r="U865" s="11"/>
      <c r="V865" s="12"/>
      <c r="W865" s="12"/>
      <c r="X865" s="12"/>
      <c r="Y865" s="12"/>
      <c r="Z865" s="12"/>
    </row>
    <row r="866" spans="1:26" x14ac:dyDescent="0.2">
      <c r="A866" s="12"/>
      <c r="B866" s="13"/>
      <c r="C866" s="123"/>
      <c r="D866" s="12"/>
      <c r="E866" s="55"/>
      <c r="F866" s="55"/>
      <c r="G866" s="55"/>
      <c r="H866" s="12"/>
      <c r="I866" s="12"/>
      <c r="J866" s="12"/>
      <c r="K866" s="12"/>
      <c r="L866" s="12"/>
      <c r="M866" s="12"/>
      <c r="N866" s="12"/>
      <c r="O866" s="12"/>
      <c r="P866" s="12"/>
      <c r="Q866" s="12"/>
      <c r="R866" s="11"/>
      <c r="S866" s="11"/>
      <c r="T866" s="11"/>
      <c r="U866" s="11"/>
      <c r="V866" s="12"/>
      <c r="W866" s="12"/>
      <c r="X866" s="12"/>
      <c r="Y866" s="12"/>
      <c r="Z866" s="12"/>
    </row>
    <row r="867" spans="1:26" x14ac:dyDescent="0.2">
      <c r="A867" s="12"/>
      <c r="B867" s="13"/>
      <c r="C867" s="123"/>
      <c r="D867" s="12"/>
      <c r="E867" s="55"/>
      <c r="F867" s="55"/>
      <c r="G867" s="55"/>
      <c r="H867" s="12"/>
      <c r="I867" s="12"/>
      <c r="J867" s="12"/>
      <c r="K867" s="12"/>
      <c r="L867" s="12"/>
      <c r="M867" s="12"/>
      <c r="N867" s="12"/>
      <c r="O867" s="12"/>
      <c r="P867" s="12"/>
      <c r="Q867" s="12"/>
      <c r="R867" s="11"/>
      <c r="S867" s="11"/>
      <c r="T867" s="11"/>
      <c r="U867" s="11"/>
      <c r="V867" s="12"/>
      <c r="W867" s="12"/>
      <c r="X867" s="12"/>
      <c r="Y867" s="12"/>
      <c r="Z867" s="12"/>
    </row>
    <row r="868" spans="1:26" x14ac:dyDescent="0.2">
      <c r="A868" s="12"/>
      <c r="B868" s="13"/>
      <c r="C868" s="123"/>
      <c r="D868" s="12"/>
      <c r="E868" s="55"/>
      <c r="F868" s="55"/>
      <c r="G868" s="55"/>
      <c r="H868" s="12"/>
      <c r="I868" s="12"/>
      <c r="J868" s="12"/>
      <c r="K868" s="12"/>
      <c r="L868" s="12"/>
      <c r="M868" s="12"/>
      <c r="N868" s="12"/>
      <c r="O868" s="12"/>
      <c r="P868" s="12"/>
      <c r="Q868" s="12"/>
      <c r="R868" s="11"/>
      <c r="S868" s="11"/>
      <c r="T868" s="11"/>
      <c r="U868" s="11"/>
      <c r="V868" s="12"/>
      <c r="W868" s="12"/>
      <c r="X868" s="12"/>
      <c r="Y868" s="12"/>
      <c r="Z868" s="12"/>
    </row>
    <row r="869" spans="1:26" x14ac:dyDescent="0.2">
      <c r="A869" s="12"/>
      <c r="B869" s="13"/>
      <c r="C869" s="123"/>
      <c r="D869" s="12"/>
      <c r="E869" s="55"/>
      <c r="F869" s="55"/>
      <c r="G869" s="55"/>
      <c r="H869" s="12"/>
      <c r="I869" s="12"/>
      <c r="J869" s="12"/>
      <c r="K869" s="12"/>
      <c r="L869" s="12"/>
      <c r="M869" s="12"/>
      <c r="N869" s="12"/>
      <c r="O869" s="12"/>
      <c r="P869" s="12"/>
      <c r="Q869" s="12"/>
      <c r="R869" s="11"/>
      <c r="S869" s="11"/>
      <c r="T869" s="11"/>
      <c r="U869" s="11"/>
      <c r="V869" s="12"/>
      <c r="W869" s="12"/>
      <c r="X869" s="12"/>
      <c r="Y869" s="12"/>
      <c r="Z869" s="12"/>
    </row>
    <row r="870" spans="1:26" x14ac:dyDescent="0.2">
      <c r="A870" s="12"/>
      <c r="B870" s="13"/>
      <c r="C870" s="123"/>
      <c r="D870" s="12"/>
      <c r="E870" s="55"/>
      <c r="F870" s="55"/>
      <c r="G870" s="55"/>
      <c r="H870" s="12"/>
      <c r="I870" s="12"/>
      <c r="J870" s="12"/>
      <c r="K870" s="12"/>
      <c r="L870" s="12"/>
      <c r="M870" s="12"/>
      <c r="N870" s="12"/>
      <c r="O870" s="12"/>
      <c r="P870" s="12"/>
      <c r="Q870" s="12"/>
      <c r="R870" s="11"/>
      <c r="S870" s="11"/>
      <c r="T870" s="11"/>
      <c r="U870" s="11"/>
      <c r="V870" s="12"/>
      <c r="W870" s="12"/>
      <c r="X870" s="12"/>
      <c r="Y870" s="12"/>
      <c r="Z870" s="12"/>
    </row>
    <row r="871" spans="1:26" x14ac:dyDescent="0.2">
      <c r="A871" s="12"/>
      <c r="B871" s="13"/>
      <c r="C871" s="123"/>
      <c r="D871" s="12"/>
      <c r="E871" s="55"/>
      <c r="F871" s="55"/>
      <c r="G871" s="55"/>
      <c r="H871" s="12"/>
      <c r="I871" s="12"/>
      <c r="J871" s="12"/>
      <c r="K871" s="12"/>
      <c r="L871" s="12"/>
      <c r="M871" s="12"/>
      <c r="N871" s="12"/>
      <c r="O871" s="12"/>
      <c r="P871" s="12"/>
      <c r="Q871" s="12"/>
      <c r="R871" s="11"/>
      <c r="S871" s="11"/>
      <c r="T871" s="11"/>
      <c r="U871" s="11"/>
      <c r="V871" s="12"/>
      <c r="W871" s="12"/>
      <c r="X871" s="12"/>
      <c r="Y871" s="12"/>
      <c r="Z871" s="12"/>
    </row>
    <row r="872" spans="1:26" x14ac:dyDescent="0.2">
      <c r="A872" s="12"/>
      <c r="B872" s="13"/>
      <c r="C872" s="123"/>
      <c r="D872" s="12"/>
      <c r="E872" s="55"/>
      <c r="F872" s="55"/>
      <c r="G872" s="55"/>
      <c r="H872" s="12"/>
      <c r="I872" s="12"/>
      <c r="J872" s="12"/>
      <c r="K872" s="12"/>
      <c r="L872" s="12"/>
      <c r="M872" s="12"/>
      <c r="N872" s="12"/>
      <c r="O872" s="12"/>
      <c r="P872" s="12"/>
      <c r="Q872" s="12"/>
      <c r="R872" s="11"/>
      <c r="S872" s="11"/>
      <c r="T872" s="11"/>
      <c r="U872" s="11"/>
      <c r="V872" s="12"/>
      <c r="W872" s="12"/>
      <c r="X872" s="12"/>
      <c r="Y872" s="12"/>
      <c r="Z872" s="12"/>
    </row>
    <row r="873" spans="1:26" x14ac:dyDescent="0.2">
      <c r="A873" s="12"/>
      <c r="B873" s="13"/>
      <c r="C873" s="123"/>
      <c r="D873" s="12"/>
      <c r="E873" s="55"/>
      <c r="F873" s="55"/>
      <c r="G873" s="55"/>
      <c r="H873" s="12"/>
      <c r="I873" s="12"/>
      <c r="J873" s="12"/>
      <c r="K873" s="12"/>
      <c r="L873" s="12"/>
      <c r="M873" s="12"/>
      <c r="N873" s="12"/>
      <c r="O873" s="12"/>
      <c r="P873" s="12"/>
      <c r="Q873" s="12"/>
      <c r="R873" s="11"/>
      <c r="S873" s="11"/>
      <c r="T873" s="11"/>
      <c r="U873" s="11"/>
      <c r="V873" s="12"/>
      <c r="W873" s="12"/>
      <c r="X873" s="12"/>
      <c r="Y873" s="12"/>
      <c r="Z873" s="12"/>
    </row>
    <row r="874" spans="1:26" x14ac:dyDescent="0.2">
      <c r="A874" s="12"/>
      <c r="B874" s="13"/>
      <c r="C874" s="123"/>
      <c r="D874" s="12"/>
      <c r="E874" s="55"/>
      <c r="F874" s="55"/>
      <c r="G874" s="55"/>
      <c r="H874" s="12"/>
      <c r="I874" s="12"/>
      <c r="J874" s="12"/>
      <c r="K874" s="12"/>
      <c r="L874" s="12"/>
      <c r="M874" s="12"/>
      <c r="N874" s="12"/>
      <c r="O874" s="12"/>
      <c r="P874" s="12"/>
      <c r="Q874" s="12"/>
      <c r="R874" s="11"/>
      <c r="S874" s="11"/>
      <c r="T874" s="11"/>
      <c r="U874" s="11"/>
      <c r="V874" s="12"/>
      <c r="W874" s="12"/>
      <c r="X874" s="12"/>
      <c r="Y874" s="12"/>
      <c r="Z874" s="12"/>
    </row>
    <row r="875" spans="1:26" x14ac:dyDescent="0.2">
      <c r="A875" s="12"/>
      <c r="B875" s="13"/>
      <c r="C875" s="123"/>
      <c r="D875" s="12"/>
      <c r="E875" s="55"/>
      <c r="F875" s="55"/>
      <c r="G875" s="55"/>
      <c r="H875" s="12"/>
      <c r="I875" s="12"/>
      <c r="J875" s="12"/>
      <c r="K875" s="12"/>
      <c r="L875" s="12"/>
      <c r="M875" s="12"/>
      <c r="N875" s="12"/>
      <c r="O875" s="12"/>
      <c r="P875" s="12"/>
      <c r="Q875" s="12"/>
      <c r="R875" s="11"/>
      <c r="S875" s="11"/>
      <c r="T875" s="11"/>
      <c r="U875" s="11"/>
      <c r="V875" s="12"/>
      <c r="W875" s="12"/>
      <c r="X875" s="12"/>
      <c r="Y875" s="12"/>
      <c r="Z875" s="12"/>
    </row>
    <row r="876" spans="1:26" x14ac:dyDescent="0.2">
      <c r="A876" s="12"/>
      <c r="B876" s="13"/>
      <c r="C876" s="123"/>
      <c r="D876" s="12"/>
      <c r="E876" s="55"/>
      <c r="F876" s="55"/>
      <c r="G876" s="55"/>
      <c r="H876" s="12"/>
      <c r="I876" s="12"/>
      <c r="J876" s="12"/>
      <c r="K876" s="12"/>
      <c r="L876" s="12"/>
      <c r="M876" s="12"/>
      <c r="N876" s="12"/>
      <c r="O876" s="12"/>
      <c r="P876" s="12"/>
      <c r="Q876" s="12"/>
      <c r="R876" s="11"/>
      <c r="S876" s="11"/>
      <c r="T876" s="11"/>
      <c r="U876" s="11"/>
      <c r="V876" s="12"/>
      <c r="W876" s="12"/>
      <c r="X876" s="12"/>
      <c r="Y876" s="12"/>
      <c r="Z876" s="12"/>
    </row>
    <row r="877" spans="1:26" x14ac:dyDescent="0.2">
      <c r="A877" s="12"/>
      <c r="B877" s="13"/>
      <c r="C877" s="123"/>
      <c r="D877" s="12"/>
      <c r="E877" s="55"/>
      <c r="F877" s="55"/>
      <c r="G877" s="55"/>
      <c r="H877" s="12"/>
      <c r="I877" s="12"/>
      <c r="J877" s="12"/>
      <c r="K877" s="12"/>
      <c r="L877" s="12"/>
      <c r="M877" s="12"/>
      <c r="N877" s="12"/>
      <c r="O877" s="12"/>
      <c r="P877" s="12"/>
      <c r="Q877" s="12"/>
      <c r="R877" s="11"/>
      <c r="S877" s="11"/>
      <c r="T877" s="11"/>
      <c r="U877" s="11"/>
      <c r="V877" s="12"/>
      <c r="W877" s="12"/>
      <c r="X877" s="12"/>
      <c r="Y877" s="12"/>
      <c r="Z877" s="12"/>
    </row>
    <row r="878" spans="1:26" x14ac:dyDescent="0.2">
      <c r="A878" s="12"/>
      <c r="B878" s="13"/>
      <c r="C878" s="123"/>
      <c r="D878" s="12"/>
      <c r="E878" s="55"/>
      <c r="F878" s="55"/>
      <c r="G878" s="55"/>
      <c r="H878" s="12"/>
      <c r="I878" s="12"/>
      <c r="J878" s="12"/>
      <c r="K878" s="12"/>
      <c r="L878" s="12"/>
      <c r="M878" s="12"/>
      <c r="N878" s="12"/>
      <c r="O878" s="12"/>
      <c r="P878" s="12"/>
      <c r="Q878" s="12"/>
      <c r="R878" s="11"/>
      <c r="S878" s="11"/>
      <c r="T878" s="11"/>
      <c r="U878" s="11"/>
      <c r="V878" s="12"/>
      <c r="W878" s="12"/>
      <c r="X878" s="12"/>
      <c r="Y878" s="12"/>
      <c r="Z878" s="12"/>
    </row>
    <row r="879" spans="1:26" x14ac:dyDescent="0.2">
      <c r="A879" s="12"/>
      <c r="B879" s="13"/>
      <c r="C879" s="123"/>
      <c r="D879" s="12"/>
      <c r="E879" s="55"/>
      <c r="F879" s="55"/>
      <c r="G879" s="55"/>
      <c r="H879" s="12"/>
      <c r="I879" s="12"/>
      <c r="J879" s="12"/>
      <c r="K879" s="12"/>
      <c r="L879" s="12"/>
      <c r="M879" s="12"/>
      <c r="N879" s="12"/>
      <c r="O879" s="12"/>
      <c r="P879" s="12"/>
      <c r="Q879" s="12"/>
      <c r="R879" s="11"/>
      <c r="S879" s="11"/>
      <c r="T879" s="11"/>
      <c r="U879" s="11"/>
      <c r="V879" s="12"/>
      <c r="W879" s="12"/>
      <c r="X879" s="12"/>
      <c r="Y879" s="12"/>
      <c r="Z879" s="12"/>
    </row>
    <row r="880" spans="1:26" x14ac:dyDescent="0.2">
      <c r="A880" s="12"/>
      <c r="B880" s="13"/>
      <c r="C880" s="123"/>
      <c r="D880" s="12"/>
      <c r="E880" s="55"/>
      <c r="F880" s="55"/>
      <c r="G880" s="55"/>
      <c r="H880" s="12"/>
      <c r="I880" s="12"/>
      <c r="J880" s="12"/>
      <c r="K880" s="12"/>
      <c r="L880" s="12"/>
      <c r="M880" s="12"/>
      <c r="N880" s="12"/>
      <c r="O880" s="12"/>
      <c r="P880" s="12"/>
      <c r="Q880" s="12"/>
      <c r="R880" s="11"/>
      <c r="S880" s="11"/>
      <c r="T880" s="11"/>
      <c r="U880" s="11"/>
      <c r="V880" s="12"/>
      <c r="W880" s="12"/>
      <c r="X880" s="12"/>
      <c r="Y880" s="12"/>
      <c r="Z880" s="12"/>
    </row>
    <row r="881" spans="1:26" x14ac:dyDescent="0.2">
      <c r="A881" s="12"/>
      <c r="B881" s="13"/>
      <c r="C881" s="123"/>
      <c r="D881" s="12"/>
      <c r="E881" s="55"/>
      <c r="F881" s="55"/>
      <c r="G881" s="55"/>
      <c r="H881" s="12"/>
      <c r="I881" s="12"/>
      <c r="J881" s="12"/>
      <c r="K881" s="12"/>
      <c r="L881" s="12"/>
      <c r="M881" s="12"/>
      <c r="N881" s="12"/>
      <c r="O881" s="12"/>
      <c r="P881" s="12"/>
      <c r="Q881" s="12"/>
      <c r="R881" s="11"/>
      <c r="S881" s="11"/>
      <c r="T881" s="11"/>
      <c r="U881" s="11"/>
      <c r="V881" s="12"/>
      <c r="W881" s="12"/>
      <c r="X881" s="12"/>
      <c r="Y881" s="12"/>
      <c r="Z881" s="12"/>
    </row>
    <row r="882" spans="1:26" x14ac:dyDescent="0.2">
      <c r="A882" s="12"/>
      <c r="B882" s="13"/>
      <c r="C882" s="123"/>
      <c r="D882" s="12"/>
      <c r="E882" s="55"/>
      <c r="F882" s="55"/>
      <c r="G882" s="55"/>
      <c r="H882" s="12"/>
      <c r="I882" s="12"/>
      <c r="J882" s="12"/>
      <c r="K882" s="12"/>
      <c r="L882" s="12"/>
      <c r="M882" s="12"/>
      <c r="N882" s="12"/>
      <c r="O882" s="12"/>
      <c r="P882" s="12"/>
      <c r="Q882" s="12"/>
      <c r="R882" s="11"/>
      <c r="S882" s="11"/>
      <c r="T882" s="11"/>
      <c r="U882" s="11"/>
      <c r="V882" s="12"/>
      <c r="W882" s="12"/>
      <c r="X882" s="12"/>
      <c r="Y882" s="12"/>
      <c r="Z882" s="12"/>
    </row>
    <row r="883" spans="1:26" x14ac:dyDescent="0.2">
      <c r="A883" s="12"/>
      <c r="B883" s="13"/>
      <c r="C883" s="123"/>
      <c r="D883" s="12"/>
      <c r="E883" s="55"/>
      <c r="F883" s="55"/>
      <c r="G883" s="55"/>
      <c r="H883" s="12"/>
      <c r="I883" s="12"/>
      <c r="J883" s="12"/>
      <c r="K883" s="12"/>
      <c r="L883" s="12"/>
      <c r="M883" s="12"/>
      <c r="N883" s="12"/>
      <c r="O883" s="12"/>
      <c r="P883" s="12"/>
      <c r="Q883" s="12"/>
      <c r="R883" s="11"/>
      <c r="S883" s="11"/>
      <c r="T883" s="11"/>
      <c r="U883" s="11"/>
      <c r="V883" s="12"/>
      <c r="W883" s="12"/>
      <c r="X883" s="12"/>
      <c r="Y883" s="12"/>
      <c r="Z883" s="12"/>
    </row>
    <row r="884" spans="1:26" x14ac:dyDescent="0.2">
      <c r="A884" s="12"/>
      <c r="B884" s="13"/>
      <c r="C884" s="123"/>
      <c r="D884" s="12"/>
      <c r="E884" s="55"/>
      <c r="F884" s="55"/>
      <c r="G884" s="55"/>
      <c r="H884" s="12"/>
      <c r="I884" s="12"/>
      <c r="J884" s="12"/>
      <c r="K884" s="12"/>
      <c r="L884" s="12"/>
      <c r="M884" s="12"/>
      <c r="N884" s="12"/>
      <c r="O884" s="12"/>
      <c r="P884" s="12"/>
      <c r="Q884" s="12"/>
      <c r="R884" s="11"/>
      <c r="S884" s="11"/>
      <c r="T884" s="11"/>
      <c r="U884" s="11"/>
      <c r="V884" s="12"/>
      <c r="W884" s="12"/>
      <c r="X884" s="12"/>
      <c r="Y884" s="12"/>
      <c r="Z884" s="12"/>
    </row>
    <row r="885" spans="1:26" x14ac:dyDescent="0.2">
      <c r="A885" s="12"/>
      <c r="B885" s="13"/>
      <c r="C885" s="123"/>
      <c r="D885" s="12"/>
      <c r="E885" s="55"/>
      <c r="F885" s="55"/>
      <c r="G885" s="55"/>
      <c r="H885" s="12"/>
      <c r="I885" s="12"/>
      <c r="J885" s="12"/>
      <c r="K885" s="12"/>
      <c r="L885" s="12"/>
      <c r="M885" s="12"/>
      <c r="N885" s="12"/>
      <c r="O885" s="12"/>
      <c r="P885" s="12"/>
      <c r="Q885" s="12"/>
      <c r="R885" s="11"/>
      <c r="S885" s="11"/>
      <c r="T885" s="11"/>
      <c r="U885" s="11"/>
      <c r="V885" s="12"/>
      <c r="W885" s="12"/>
      <c r="X885" s="12"/>
      <c r="Y885" s="12"/>
      <c r="Z885" s="12"/>
    </row>
    <row r="886" spans="1:26" x14ac:dyDescent="0.2">
      <c r="A886" s="12"/>
      <c r="B886" s="13"/>
      <c r="C886" s="123"/>
      <c r="D886" s="12"/>
      <c r="E886" s="55"/>
      <c r="F886" s="55"/>
      <c r="G886" s="55"/>
      <c r="H886" s="12"/>
      <c r="I886" s="12"/>
      <c r="J886" s="12"/>
      <c r="K886" s="12"/>
      <c r="L886" s="12"/>
      <c r="M886" s="12"/>
      <c r="N886" s="12"/>
      <c r="O886" s="12"/>
      <c r="P886" s="12"/>
      <c r="Q886" s="12"/>
      <c r="R886" s="11"/>
      <c r="S886" s="11"/>
      <c r="T886" s="11"/>
      <c r="U886" s="11"/>
      <c r="V886" s="12"/>
      <c r="W886" s="12"/>
      <c r="X886" s="12"/>
      <c r="Y886" s="12"/>
      <c r="Z886" s="12"/>
    </row>
    <row r="887" spans="1:26" x14ac:dyDescent="0.2">
      <c r="A887" s="12"/>
      <c r="B887" s="13"/>
      <c r="C887" s="123"/>
      <c r="D887" s="12"/>
      <c r="E887" s="55"/>
      <c r="F887" s="55"/>
      <c r="G887" s="55"/>
      <c r="H887" s="12"/>
      <c r="I887" s="12"/>
      <c r="J887" s="12"/>
      <c r="K887" s="12"/>
      <c r="L887" s="12"/>
      <c r="M887" s="12"/>
      <c r="N887" s="12"/>
      <c r="O887" s="12"/>
      <c r="P887" s="12"/>
      <c r="Q887" s="12"/>
      <c r="R887" s="11"/>
      <c r="S887" s="11"/>
      <c r="T887" s="11"/>
      <c r="U887" s="11"/>
      <c r="V887" s="12"/>
      <c r="W887" s="12"/>
      <c r="X887" s="12"/>
      <c r="Y887" s="12"/>
      <c r="Z887" s="12"/>
    </row>
    <row r="888" spans="1:26" x14ac:dyDescent="0.2">
      <c r="A888" s="12"/>
      <c r="B888" s="13"/>
      <c r="C888" s="123"/>
      <c r="D888" s="12"/>
      <c r="E888" s="55"/>
      <c r="F888" s="55"/>
      <c r="G888" s="55"/>
      <c r="H888" s="12"/>
      <c r="I888" s="12"/>
      <c r="J888" s="12"/>
      <c r="K888" s="12"/>
      <c r="L888" s="12"/>
      <c r="M888" s="12"/>
      <c r="N888" s="12"/>
      <c r="O888" s="12"/>
      <c r="P888" s="12"/>
      <c r="Q888" s="12"/>
      <c r="R888" s="11"/>
      <c r="S888" s="11"/>
      <c r="T888" s="11"/>
      <c r="U888" s="11"/>
      <c r="V888" s="12"/>
      <c r="W888" s="12"/>
      <c r="X888" s="12"/>
      <c r="Y888" s="12"/>
      <c r="Z888" s="12"/>
    </row>
    <row r="889" spans="1:26" x14ac:dyDescent="0.2">
      <c r="A889" s="12"/>
      <c r="B889" s="13"/>
      <c r="C889" s="123"/>
      <c r="D889" s="12"/>
      <c r="E889" s="55"/>
      <c r="F889" s="55"/>
      <c r="G889" s="55"/>
      <c r="H889" s="12"/>
      <c r="I889" s="12"/>
      <c r="J889" s="12"/>
      <c r="K889" s="12"/>
      <c r="L889" s="12"/>
      <c r="M889" s="12"/>
      <c r="N889" s="12"/>
      <c r="O889" s="12"/>
      <c r="P889" s="12"/>
      <c r="Q889" s="12"/>
      <c r="R889" s="11"/>
      <c r="S889" s="11"/>
      <c r="T889" s="11"/>
      <c r="U889" s="11"/>
      <c r="V889" s="12"/>
      <c r="W889" s="12"/>
      <c r="X889" s="12"/>
      <c r="Y889" s="12"/>
      <c r="Z889" s="12"/>
    </row>
    <row r="890" spans="1:26" x14ac:dyDescent="0.2">
      <c r="A890" s="12"/>
      <c r="B890" s="13"/>
      <c r="C890" s="123"/>
      <c r="D890" s="12"/>
      <c r="E890" s="55"/>
      <c r="F890" s="55"/>
      <c r="G890" s="55"/>
      <c r="H890" s="12"/>
      <c r="I890" s="12"/>
      <c r="J890" s="12"/>
      <c r="K890" s="12"/>
      <c r="L890" s="12"/>
      <c r="M890" s="12"/>
      <c r="N890" s="12"/>
      <c r="O890" s="12"/>
      <c r="P890" s="12"/>
      <c r="Q890" s="12"/>
      <c r="R890" s="11"/>
      <c r="S890" s="11"/>
      <c r="T890" s="11"/>
      <c r="U890" s="11"/>
      <c r="V890" s="12"/>
      <c r="W890" s="12"/>
      <c r="X890" s="12"/>
      <c r="Y890" s="12"/>
      <c r="Z890" s="12"/>
    </row>
    <row r="891" spans="1:26" x14ac:dyDescent="0.2">
      <c r="A891" s="12"/>
      <c r="B891" s="13"/>
      <c r="C891" s="123"/>
      <c r="D891" s="12"/>
      <c r="E891" s="55"/>
      <c r="F891" s="55"/>
      <c r="G891" s="55"/>
      <c r="H891" s="12"/>
      <c r="I891" s="12"/>
      <c r="J891" s="12"/>
      <c r="K891" s="12"/>
      <c r="L891" s="12"/>
      <c r="M891" s="12"/>
      <c r="N891" s="12"/>
      <c r="O891" s="12"/>
      <c r="P891" s="12"/>
      <c r="Q891" s="12"/>
      <c r="R891" s="11"/>
      <c r="S891" s="11"/>
      <c r="T891" s="11"/>
      <c r="U891" s="11"/>
      <c r="V891" s="12"/>
      <c r="W891" s="12"/>
      <c r="X891" s="12"/>
      <c r="Y891" s="12"/>
      <c r="Z891" s="12"/>
    </row>
    <row r="892" spans="1:26" x14ac:dyDescent="0.2">
      <c r="A892" s="12"/>
      <c r="B892" s="13"/>
      <c r="C892" s="123"/>
      <c r="D892" s="12"/>
      <c r="E892" s="55"/>
      <c r="F892" s="55"/>
      <c r="G892" s="55"/>
      <c r="H892" s="12"/>
      <c r="I892" s="12"/>
      <c r="J892" s="12"/>
      <c r="K892" s="12"/>
      <c r="L892" s="12"/>
      <c r="M892" s="12"/>
      <c r="N892" s="12"/>
      <c r="O892" s="12"/>
      <c r="P892" s="12"/>
      <c r="Q892" s="12"/>
      <c r="R892" s="11"/>
      <c r="S892" s="11"/>
      <c r="T892" s="11"/>
      <c r="U892" s="11"/>
      <c r="V892" s="12"/>
      <c r="W892" s="12"/>
      <c r="X892" s="12"/>
      <c r="Y892" s="12"/>
      <c r="Z892" s="12"/>
    </row>
    <row r="893" spans="1:26" x14ac:dyDescent="0.2">
      <c r="A893" s="12"/>
      <c r="B893" s="13"/>
      <c r="C893" s="123"/>
      <c r="D893" s="12"/>
      <c r="E893" s="55"/>
      <c r="F893" s="55"/>
      <c r="G893" s="55"/>
      <c r="H893" s="12"/>
      <c r="I893" s="12"/>
      <c r="J893" s="12"/>
      <c r="K893" s="12"/>
      <c r="L893" s="12"/>
      <c r="M893" s="12"/>
      <c r="N893" s="12"/>
      <c r="O893" s="12"/>
      <c r="P893" s="12"/>
      <c r="Q893" s="12"/>
      <c r="R893" s="11"/>
      <c r="S893" s="11"/>
      <c r="T893" s="11"/>
      <c r="U893" s="11"/>
      <c r="V893" s="12"/>
      <c r="W893" s="12"/>
      <c r="X893" s="12"/>
      <c r="Y893" s="12"/>
      <c r="Z893" s="12"/>
    </row>
    <row r="894" spans="1:26" x14ac:dyDescent="0.2">
      <c r="A894" s="12"/>
      <c r="B894" s="13"/>
      <c r="C894" s="123"/>
      <c r="D894" s="12"/>
      <c r="E894" s="55"/>
      <c r="F894" s="55"/>
      <c r="G894" s="55"/>
      <c r="H894" s="12"/>
      <c r="I894" s="12"/>
      <c r="J894" s="12"/>
      <c r="K894" s="12"/>
      <c r="L894" s="12"/>
      <c r="M894" s="12"/>
      <c r="N894" s="12"/>
      <c r="O894" s="12"/>
      <c r="P894" s="12"/>
      <c r="Q894" s="12"/>
      <c r="R894" s="11"/>
      <c r="S894" s="11"/>
      <c r="T894" s="11"/>
      <c r="U894" s="11"/>
      <c r="V894" s="12"/>
      <c r="W894" s="12"/>
      <c r="X894" s="12"/>
      <c r="Y894" s="12"/>
      <c r="Z894" s="12"/>
    </row>
    <row r="895" spans="1:26" x14ac:dyDescent="0.2">
      <c r="A895" s="12"/>
      <c r="B895" s="13"/>
      <c r="C895" s="123"/>
      <c r="D895" s="12"/>
      <c r="E895" s="55"/>
      <c r="F895" s="55"/>
      <c r="G895" s="55"/>
      <c r="H895" s="12"/>
      <c r="I895" s="12"/>
      <c r="J895" s="12"/>
      <c r="K895" s="12"/>
      <c r="L895" s="12"/>
      <c r="M895" s="12"/>
      <c r="N895" s="12"/>
      <c r="O895" s="12"/>
      <c r="P895" s="12"/>
      <c r="Q895" s="12"/>
      <c r="R895" s="11"/>
      <c r="S895" s="11"/>
      <c r="T895" s="11"/>
      <c r="U895" s="11"/>
      <c r="V895" s="12"/>
      <c r="W895" s="12"/>
      <c r="X895" s="12"/>
      <c r="Y895" s="12"/>
      <c r="Z895" s="12"/>
    </row>
    <row r="896" spans="1:26" x14ac:dyDescent="0.2">
      <c r="A896" s="12"/>
      <c r="B896" s="13"/>
      <c r="C896" s="123"/>
      <c r="D896" s="12"/>
      <c r="E896" s="55"/>
      <c r="F896" s="55"/>
      <c r="G896" s="55"/>
      <c r="H896" s="12"/>
      <c r="I896" s="12"/>
      <c r="J896" s="12"/>
      <c r="K896" s="12"/>
      <c r="L896" s="12"/>
      <c r="M896" s="12"/>
      <c r="N896" s="12"/>
      <c r="O896" s="12"/>
      <c r="P896" s="12"/>
      <c r="Q896" s="12"/>
      <c r="R896" s="11"/>
      <c r="S896" s="11"/>
      <c r="T896" s="11"/>
      <c r="U896" s="11"/>
      <c r="V896" s="12"/>
      <c r="W896" s="12"/>
      <c r="X896" s="12"/>
      <c r="Y896" s="12"/>
      <c r="Z896" s="12"/>
    </row>
    <row r="897" spans="1:26" x14ac:dyDescent="0.2">
      <c r="A897" s="12"/>
      <c r="B897" s="13"/>
      <c r="C897" s="123"/>
      <c r="D897" s="12"/>
      <c r="E897" s="55"/>
      <c r="F897" s="55"/>
      <c r="G897" s="55"/>
      <c r="H897" s="12"/>
      <c r="I897" s="12"/>
      <c r="J897" s="12"/>
      <c r="K897" s="12"/>
      <c r="L897" s="12"/>
      <c r="M897" s="12"/>
      <c r="N897" s="12"/>
      <c r="O897" s="12"/>
      <c r="P897" s="12"/>
      <c r="Q897" s="12"/>
      <c r="R897" s="11"/>
      <c r="S897" s="11"/>
      <c r="T897" s="11"/>
      <c r="U897" s="11"/>
      <c r="V897" s="12"/>
      <c r="W897" s="12"/>
      <c r="X897" s="12"/>
      <c r="Y897" s="12"/>
      <c r="Z897" s="12"/>
    </row>
    <row r="898" spans="1:26" x14ac:dyDescent="0.2">
      <c r="A898" s="12"/>
      <c r="B898" s="13"/>
      <c r="C898" s="123"/>
      <c r="D898" s="12"/>
      <c r="E898" s="55"/>
      <c r="F898" s="55"/>
      <c r="G898" s="55"/>
      <c r="H898" s="12"/>
      <c r="I898" s="12"/>
      <c r="J898" s="12"/>
      <c r="K898" s="12"/>
      <c r="L898" s="12"/>
      <c r="M898" s="12"/>
      <c r="N898" s="12"/>
      <c r="O898" s="12"/>
      <c r="P898" s="12"/>
      <c r="Q898" s="12"/>
      <c r="R898" s="11"/>
      <c r="S898" s="11"/>
      <c r="T898" s="11"/>
      <c r="U898" s="11"/>
      <c r="V898" s="12"/>
      <c r="W898" s="12"/>
      <c r="X898" s="12"/>
      <c r="Y898" s="12"/>
      <c r="Z898" s="12"/>
    </row>
    <row r="899" spans="1:26" x14ac:dyDescent="0.2">
      <c r="A899" s="12"/>
      <c r="B899" s="13"/>
      <c r="C899" s="123"/>
      <c r="D899" s="12"/>
      <c r="E899" s="55"/>
      <c r="F899" s="55"/>
      <c r="G899" s="55"/>
      <c r="H899" s="12"/>
      <c r="I899" s="12"/>
      <c r="J899" s="12"/>
      <c r="K899" s="12"/>
      <c r="L899" s="12"/>
      <c r="M899" s="12"/>
      <c r="N899" s="12"/>
      <c r="O899" s="12"/>
      <c r="P899" s="12"/>
      <c r="Q899" s="12"/>
      <c r="R899" s="11"/>
      <c r="S899" s="11"/>
      <c r="T899" s="11"/>
      <c r="U899" s="11"/>
      <c r="V899" s="12"/>
      <c r="W899" s="12"/>
      <c r="X899" s="12"/>
      <c r="Y899" s="12"/>
      <c r="Z899" s="12"/>
    </row>
    <row r="900" spans="1:26" x14ac:dyDescent="0.2">
      <c r="A900" s="12"/>
      <c r="B900" s="13"/>
      <c r="C900" s="123"/>
      <c r="D900" s="12"/>
      <c r="E900" s="55"/>
      <c r="F900" s="55"/>
      <c r="G900" s="55"/>
      <c r="H900" s="12"/>
      <c r="I900" s="12"/>
      <c r="J900" s="12"/>
      <c r="K900" s="12"/>
      <c r="L900" s="12"/>
      <c r="M900" s="12"/>
      <c r="N900" s="12"/>
      <c r="O900" s="12"/>
      <c r="P900" s="12"/>
      <c r="Q900" s="12"/>
      <c r="R900" s="11"/>
      <c r="S900" s="11"/>
      <c r="T900" s="11"/>
      <c r="U900" s="11"/>
      <c r="V900" s="12"/>
      <c r="W900" s="12"/>
      <c r="X900" s="12"/>
      <c r="Y900" s="12"/>
      <c r="Z900" s="12"/>
    </row>
    <row r="901" spans="1:26" x14ac:dyDescent="0.2">
      <c r="A901" s="12"/>
      <c r="B901" s="13"/>
      <c r="C901" s="123"/>
      <c r="D901" s="12"/>
      <c r="E901" s="55"/>
      <c r="F901" s="55"/>
      <c r="G901" s="55"/>
      <c r="H901" s="12"/>
      <c r="I901" s="12"/>
      <c r="J901" s="12"/>
      <c r="K901" s="12"/>
      <c r="L901" s="12"/>
      <c r="M901" s="12"/>
      <c r="N901" s="12"/>
      <c r="O901" s="12"/>
      <c r="P901" s="12"/>
      <c r="Q901" s="12"/>
      <c r="R901" s="11"/>
      <c r="S901" s="11"/>
      <c r="T901" s="11"/>
      <c r="U901" s="11"/>
      <c r="V901" s="12"/>
      <c r="W901" s="12"/>
      <c r="X901" s="12"/>
      <c r="Y901" s="12"/>
      <c r="Z901" s="12"/>
    </row>
    <row r="902" spans="1:26" x14ac:dyDescent="0.2">
      <c r="A902" s="12"/>
      <c r="B902" s="13"/>
      <c r="C902" s="123"/>
      <c r="D902" s="12"/>
      <c r="E902" s="55"/>
      <c r="F902" s="55"/>
      <c r="G902" s="55"/>
      <c r="H902" s="12"/>
      <c r="I902" s="12"/>
      <c r="J902" s="12"/>
      <c r="K902" s="12"/>
      <c r="L902" s="12"/>
      <c r="M902" s="12"/>
      <c r="N902" s="12"/>
      <c r="O902" s="12"/>
      <c r="P902" s="12"/>
      <c r="Q902" s="12"/>
      <c r="R902" s="11"/>
      <c r="S902" s="11"/>
      <c r="T902" s="11"/>
      <c r="U902" s="11"/>
      <c r="V902" s="12"/>
      <c r="W902" s="12"/>
      <c r="X902" s="12"/>
      <c r="Y902" s="12"/>
      <c r="Z902" s="12"/>
    </row>
    <row r="903" spans="1:26" x14ac:dyDescent="0.2">
      <c r="A903" s="12"/>
      <c r="B903" s="13"/>
      <c r="C903" s="123"/>
      <c r="D903" s="12"/>
      <c r="E903" s="55"/>
      <c r="F903" s="55"/>
      <c r="G903" s="55"/>
      <c r="H903" s="12"/>
      <c r="I903" s="12"/>
      <c r="J903" s="12"/>
      <c r="K903" s="12"/>
      <c r="L903" s="12"/>
      <c r="M903" s="12"/>
      <c r="N903" s="12"/>
      <c r="O903" s="12"/>
      <c r="P903" s="12"/>
      <c r="Q903" s="12"/>
      <c r="R903" s="11"/>
      <c r="S903" s="11"/>
      <c r="T903" s="11"/>
      <c r="U903" s="11"/>
      <c r="V903" s="12"/>
      <c r="W903" s="12"/>
      <c r="X903" s="12"/>
      <c r="Y903" s="12"/>
      <c r="Z903" s="12"/>
    </row>
    <row r="904" spans="1:26" x14ac:dyDescent="0.2">
      <c r="A904" s="12"/>
      <c r="B904" s="13"/>
      <c r="C904" s="123"/>
      <c r="D904" s="12"/>
      <c r="E904" s="55"/>
      <c r="F904" s="55"/>
      <c r="G904" s="55"/>
      <c r="H904" s="12"/>
      <c r="I904" s="12"/>
      <c r="J904" s="12"/>
      <c r="K904" s="12"/>
      <c r="L904" s="12"/>
      <c r="M904" s="12"/>
      <c r="N904" s="12"/>
      <c r="O904" s="12"/>
      <c r="P904" s="12"/>
      <c r="Q904" s="12"/>
      <c r="R904" s="11"/>
      <c r="S904" s="11"/>
      <c r="T904" s="11"/>
      <c r="U904" s="11"/>
      <c r="V904" s="12"/>
      <c r="W904" s="12"/>
      <c r="X904" s="12"/>
      <c r="Y904" s="12"/>
      <c r="Z904" s="12"/>
    </row>
    <row r="905" spans="1:26" x14ac:dyDescent="0.2">
      <c r="A905" s="12"/>
      <c r="B905" s="13"/>
      <c r="C905" s="123"/>
      <c r="D905" s="12"/>
      <c r="E905" s="55"/>
      <c r="F905" s="55"/>
      <c r="G905" s="55"/>
      <c r="H905" s="12"/>
      <c r="I905" s="12"/>
      <c r="J905" s="12"/>
      <c r="K905" s="12"/>
      <c r="L905" s="12"/>
      <c r="M905" s="12"/>
      <c r="N905" s="12"/>
      <c r="O905" s="12"/>
      <c r="P905" s="12"/>
      <c r="Q905" s="12"/>
      <c r="R905" s="11"/>
      <c r="S905" s="11"/>
      <c r="T905" s="11"/>
      <c r="U905" s="11"/>
      <c r="V905" s="12"/>
      <c r="W905" s="12"/>
      <c r="X905" s="12"/>
      <c r="Y905" s="12"/>
      <c r="Z905" s="12"/>
    </row>
    <row r="906" spans="1:26" x14ac:dyDescent="0.2">
      <c r="A906" s="12"/>
      <c r="B906" s="13"/>
      <c r="C906" s="123"/>
      <c r="D906" s="12"/>
      <c r="E906" s="55"/>
      <c r="F906" s="55"/>
      <c r="G906" s="55"/>
      <c r="H906" s="12"/>
      <c r="I906" s="12"/>
      <c r="J906" s="12"/>
      <c r="K906" s="12"/>
      <c r="L906" s="12"/>
      <c r="M906" s="12"/>
      <c r="N906" s="12"/>
      <c r="O906" s="12"/>
      <c r="P906" s="12"/>
      <c r="Q906" s="12"/>
      <c r="R906" s="11"/>
      <c r="S906" s="11"/>
      <c r="T906" s="11"/>
      <c r="U906" s="11"/>
      <c r="V906" s="12"/>
      <c r="W906" s="12"/>
      <c r="X906" s="12"/>
      <c r="Y906" s="12"/>
      <c r="Z906" s="12"/>
    </row>
    <row r="907" spans="1:26" x14ac:dyDescent="0.2">
      <c r="A907" s="12"/>
      <c r="B907" s="13"/>
      <c r="C907" s="123"/>
      <c r="D907" s="12"/>
      <c r="E907" s="55"/>
      <c r="F907" s="55"/>
      <c r="G907" s="55"/>
      <c r="H907" s="12"/>
      <c r="I907" s="12"/>
      <c r="J907" s="12"/>
      <c r="K907" s="12"/>
      <c r="L907" s="12"/>
      <c r="M907" s="12"/>
      <c r="N907" s="12"/>
      <c r="O907" s="12"/>
      <c r="P907" s="12"/>
      <c r="Q907" s="12"/>
      <c r="R907" s="11"/>
      <c r="S907" s="11"/>
      <c r="T907" s="11"/>
      <c r="U907" s="11"/>
      <c r="V907" s="12"/>
      <c r="W907" s="12"/>
      <c r="X907" s="12"/>
      <c r="Y907" s="12"/>
      <c r="Z907" s="12"/>
    </row>
    <row r="908" spans="1:26" x14ac:dyDescent="0.2">
      <c r="A908" s="12"/>
      <c r="B908" s="13"/>
      <c r="C908" s="123"/>
      <c r="D908" s="12"/>
      <c r="E908" s="55"/>
      <c r="F908" s="55"/>
      <c r="G908" s="55"/>
      <c r="H908" s="12"/>
      <c r="I908" s="12"/>
      <c r="J908" s="12"/>
      <c r="K908" s="12"/>
      <c r="L908" s="12"/>
      <c r="M908" s="12"/>
      <c r="N908" s="12"/>
      <c r="O908" s="12"/>
      <c r="P908" s="12"/>
      <c r="Q908" s="12"/>
      <c r="R908" s="11"/>
      <c r="S908" s="11"/>
      <c r="T908" s="11"/>
      <c r="U908" s="11"/>
      <c r="V908" s="12"/>
      <c r="W908" s="12"/>
      <c r="X908" s="12"/>
      <c r="Y908" s="12"/>
      <c r="Z908" s="12"/>
    </row>
    <row r="909" spans="1:26" x14ac:dyDescent="0.2">
      <c r="A909" s="12"/>
      <c r="B909" s="13"/>
      <c r="C909" s="123"/>
      <c r="D909" s="12"/>
      <c r="E909" s="55"/>
      <c r="F909" s="55"/>
      <c r="G909" s="55"/>
      <c r="H909" s="12"/>
      <c r="I909" s="12"/>
      <c r="J909" s="12"/>
      <c r="K909" s="12"/>
      <c r="L909" s="12"/>
      <c r="M909" s="12"/>
      <c r="N909" s="12"/>
      <c r="O909" s="12"/>
      <c r="P909" s="12"/>
      <c r="Q909" s="12"/>
      <c r="R909" s="11"/>
      <c r="S909" s="11"/>
      <c r="T909" s="11"/>
      <c r="U909" s="11"/>
      <c r="V909" s="12"/>
      <c r="W909" s="12"/>
      <c r="X909" s="12"/>
      <c r="Y909" s="12"/>
      <c r="Z909" s="12"/>
    </row>
    <row r="910" spans="1:26" x14ac:dyDescent="0.2">
      <c r="A910" s="12"/>
      <c r="B910" s="13"/>
      <c r="C910" s="123"/>
      <c r="D910" s="12"/>
      <c r="E910" s="55"/>
      <c r="F910" s="55"/>
      <c r="G910" s="55"/>
      <c r="H910" s="12"/>
      <c r="I910" s="12"/>
      <c r="J910" s="12"/>
      <c r="K910" s="12"/>
      <c r="L910" s="12"/>
      <c r="M910" s="12"/>
      <c r="N910" s="12"/>
      <c r="O910" s="12"/>
      <c r="P910" s="12"/>
      <c r="Q910" s="12"/>
      <c r="R910" s="11"/>
      <c r="S910" s="11"/>
      <c r="T910" s="11"/>
      <c r="U910" s="11"/>
      <c r="V910" s="12"/>
      <c r="W910" s="12"/>
      <c r="X910" s="12"/>
      <c r="Y910" s="12"/>
      <c r="Z910" s="12"/>
    </row>
    <row r="911" spans="1:26" x14ac:dyDescent="0.2">
      <c r="A911" s="12"/>
      <c r="B911" s="13"/>
      <c r="C911" s="123"/>
      <c r="D911" s="12"/>
      <c r="E911" s="55"/>
      <c r="F911" s="55"/>
      <c r="G911" s="55"/>
      <c r="H911" s="12"/>
      <c r="I911" s="12"/>
      <c r="J911" s="12"/>
      <c r="K911" s="12"/>
      <c r="L911" s="12"/>
      <c r="M911" s="12"/>
      <c r="N911" s="12"/>
      <c r="O911" s="12"/>
      <c r="P911" s="12"/>
      <c r="Q911" s="12"/>
      <c r="R911" s="11"/>
      <c r="S911" s="11"/>
      <c r="T911" s="11"/>
      <c r="U911" s="11"/>
      <c r="V911" s="12"/>
      <c r="W911" s="12"/>
      <c r="X911" s="12"/>
      <c r="Y911" s="12"/>
      <c r="Z911" s="12"/>
    </row>
    <row r="912" spans="1:26" x14ac:dyDescent="0.2">
      <c r="A912" s="12"/>
      <c r="B912" s="13"/>
      <c r="C912" s="123"/>
      <c r="D912" s="12"/>
      <c r="E912" s="55"/>
      <c r="F912" s="55"/>
      <c r="G912" s="55"/>
      <c r="H912" s="12"/>
      <c r="I912" s="12"/>
      <c r="J912" s="12"/>
      <c r="K912" s="12"/>
      <c r="L912" s="12"/>
      <c r="M912" s="12"/>
      <c r="N912" s="12"/>
      <c r="O912" s="12"/>
      <c r="P912" s="12"/>
      <c r="Q912" s="12"/>
      <c r="R912" s="11"/>
      <c r="S912" s="11"/>
      <c r="T912" s="11"/>
      <c r="U912" s="11"/>
      <c r="V912" s="12"/>
      <c r="W912" s="12"/>
      <c r="X912" s="12"/>
      <c r="Y912" s="12"/>
      <c r="Z912" s="12"/>
    </row>
    <row r="913" spans="1:26" x14ac:dyDescent="0.2">
      <c r="A913" s="12"/>
      <c r="B913" s="13"/>
      <c r="C913" s="123"/>
      <c r="D913" s="12"/>
      <c r="E913" s="55"/>
      <c r="F913" s="55"/>
      <c r="G913" s="55"/>
      <c r="H913" s="12"/>
      <c r="I913" s="12"/>
      <c r="J913" s="12"/>
      <c r="K913" s="12"/>
      <c r="L913" s="12"/>
      <c r="M913" s="12"/>
      <c r="N913" s="12"/>
      <c r="O913" s="12"/>
      <c r="P913" s="12"/>
      <c r="Q913" s="12"/>
      <c r="R913" s="11"/>
      <c r="S913" s="11"/>
      <c r="T913" s="11"/>
      <c r="U913" s="11"/>
      <c r="V913" s="12"/>
      <c r="W913" s="12"/>
      <c r="X913" s="12"/>
      <c r="Y913" s="12"/>
      <c r="Z913" s="12"/>
    </row>
    <row r="914" spans="1:26" x14ac:dyDescent="0.2">
      <c r="A914" s="12"/>
      <c r="B914" s="13"/>
      <c r="C914" s="123"/>
      <c r="D914" s="12"/>
      <c r="E914" s="55"/>
      <c r="F914" s="55"/>
      <c r="G914" s="55"/>
      <c r="H914" s="12"/>
      <c r="I914" s="12"/>
      <c r="J914" s="12"/>
      <c r="K914" s="12"/>
      <c r="L914" s="12"/>
      <c r="M914" s="12"/>
      <c r="N914" s="12"/>
      <c r="O914" s="12"/>
      <c r="P914" s="12"/>
      <c r="Q914" s="12"/>
      <c r="R914" s="11"/>
      <c r="S914" s="11"/>
      <c r="T914" s="11"/>
      <c r="U914" s="11"/>
      <c r="V914" s="12"/>
      <c r="W914" s="12"/>
      <c r="X914" s="12"/>
      <c r="Y914" s="12"/>
      <c r="Z914" s="12"/>
    </row>
    <row r="915" spans="1:26" x14ac:dyDescent="0.2">
      <c r="A915" s="12"/>
      <c r="B915" s="13"/>
      <c r="C915" s="123"/>
      <c r="D915" s="12"/>
      <c r="E915" s="55"/>
      <c r="F915" s="55"/>
      <c r="G915" s="55"/>
      <c r="H915" s="12"/>
      <c r="I915" s="12"/>
      <c r="J915" s="12"/>
      <c r="K915" s="12"/>
      <c r="L915" s="12"/>
      <c r="M915" s="12"/>
      <c r="N915" s="12"/>
      <c r="O915" s="12"/>
      <c r="P915" s="12"/>
      <c r="Q915" s="12"/>
      <c r="R915" s="11"/>
      <c r="S915" s="11"/>
      <c r="T915" s="11"/>
      <c r="U915" s="11"/>
      <c r="V915" s="12"/>
      <c r="W915" s="12"/>
      <c r="X915" s="12"/>
      <c r="Y915" s="12"/>
      <c r="Z915" s="12"/>
    </row>
    <row r="916" spans="1:26" x14ac:dyDescent="0.2">
      <c r="A916" s="12"/>
      <c r="B916" s="13"/>
      <c r="C916" s="123"/>
      <c r="D916" s="12"/>
      <c r="E916" s="55"/>
      <c r="F916" s="55"/>
      <c r="G916" s="55"/>
      <c r="H916" s="12"/>
      <c r="I916" s="12"/>
      <c r="J916" s="12"/>
      <c r="K916" s="12"/>
      <c r="L916" s="12"/>
      <c r="M916" s="12"/>
      <c r="N916" s="12"/>
      <c r="O916" s="12"/>
      <c r="P916" s="12"/>
      <c r="Q916" s="12"/>
      <c r="R916" s="11"/>
      <c r="S916" s="11"/>
      <c r="T916" s="11"/>
      <c r="U916" s="11"/>
      <c r="V916" s="12"/>
      <c r="W916" s="12"/>
      <c r="X916" s="12"/>
      <c r="Y916" s="12"/>
      <c r="Z916" s="12"/>
    </row>
    <row r="917" spans="1:26" x14ac:dyDescent="0.2">
      <c r="A917" s="12"/>
      <c r="B917" s="13"/>
      <c r="C917" s="123"/>
      <c r="D917" s="12"/>
      <c r="E917" s="55"/>
      <c r="F917" s="55"/>
      <c r="G917" s="55"/>
      <c r="H917" s="12"/>
      <c r="I917" s="12"/>
      <c r="J917" s="12"/>
      <c r="K917" s="12"/>
      <c r="L917" s="12"/>
      <c r="M917" s="12"/>
      <c r="N917" s="12"/>
      <c r="O917" s="12"/>
      <c r="P917" s="12"/>
      <c r="Q917" s="12"/>
      <c r="R917" s="11"/>
      <c r="S917" s="11"/>
      <c r="T917" s="11"/>
      <c r="U917" s="11"/>
      <c r="V917" s="12"/>
      <c r="W917" s="12"/>
      <c r="X917" s="12"/>
      <c r="Y917" s="12"/>
      <c r="Z917" s="12"/>
    </row>
    <row r="918" spans="1:26" x14ac:dyDescent="0.2">
      <c r="A918" s="12"/>
      <c r="B918" s="13"/>
      <c r="C918" s="123"/>
      <c r="D918" s="12"/>
      <c r="E918" s="55"/>
      <c r="F918" s="55"/>
      <c r="G918" s="55"/>
      <c r="H918" s="12"/>
      <c r="I918" s="12"/>
      <c r="J918" s="12"/>
      <c r="K918" s="12"/>
      <c r="L918" s="12"/>
      <c r="M918" s="12"/>
      <c r="N918" s="12"/>
      <c r="O918" s="12"/>
      <c r="P918" s="12"/>
      <c r="Q918" s="12"/>
      <c r="R918" s="11"/>
      <c r="S918" s="11"/>
      <c r="T918" s="11"/>
      <c r="U918" s="11"/>
      <c r="V918" s="12"/>
      <c r="W918" s="12"/>
      <c r="X918" s="12"/>
      <c r="Y918" s="12"/>
      <c r="Z918" s="12"/>
    </row>
    <row r="919" spans="1:26" x14ac:dyDescent="0.2">
      <c r="A919" s="12"/>
      <c r="B919" s="13"/>
      <c r="C919" s="123"/>
      <c r="D919" s="12"/>
      <c r="E919" s="55"/>
      <c r="F919" s="55"/>
      <c r="G919" s="55"/>
      <c r="H919" s="12"/>
      <c r="I919" s="12"/>
      <c r="J919" s="12"/>
      <c r="K919" s="12"/>
      <c r="L919" s="12"/>
      <c r="M919" s="12"/>
      <c r="N919" s="12"/>
      <c r="O919" s="12"/>
      <c r="P919" s="12"/>
      <c r="Q919" s="12"/>
      <c r="R919" s="11"/>
      <c r="S919" s="11"/>
      <c r="T919" s="11"/>
      <c r="U919" s="11"/>
      <c r="V919" s="12"/>
      <c r="W919" s="12"/>
      <c r="X919" s="12"/>
      <c r="Y919" s="12"/>
      <c r="Z919" s="12"/>
    </row>
    <row r="920" spans="1:26" x14ac:dyDescent="0.2">
      <c r="A920" s="12"/>
      <c r="B920" s="13"/>
      <c r="C920" s="123"/>
      <c r="D920" s="12"/>
      <c r="E920" s="55"/>
      <c r="F920" s="55"/>
      <c r="G920" s="55"/>
      <c r="H920" s="12"/>
      <c r="I920" s="12"/>
      <c r="J920" s="12"/>
      <c r="K920" s="12"/>
      <c r="L920" s="12"/>
      <c r="M920" s="12"/>
      <c r="N920" s="12"/>
      <c r="O920" s="12"/>
      <c r="P920" s="12"/>
      <c r="Q920" s="12"/>
      <c r="R920" s="11"/>
      <c r="S920" s="11"/>
      <c r="T920" s="11"/>
      <c r="U920" s="11"/>
      <c r="V920" s="12"/>
      <c r="W920" s="12"/>
      <c r="X920" s="12"/>
      <c r="Y920" s="12"/>
      <c r="Z920" s="12"/>
    </row>
    <row r="921" spans="1:26" x14ac:dyDescent="0.2">
      <c r="A921" s="12"/>
      <c r="B921" s="13"/>
      <c r="C921" s="123"/>
      <c r="D921" s="12"/>
      <c r="E921" s="55"/>
      <c r="F921" s="55"/>
      <c r="G921" s="55"/>
      <c r="H921" s="12"/>
      <c r="I921" s="12"/>
      <c r="J921" s="12"/>
      <c r="K921" s="12"/>
      <c r="L921" s="12"/>
      <c r="M921" s="12"/>
      <c r="N921" s="12"/>
      <c r="O921" s="12"/>
      <c r="P921" s="12"/>
      <c r="Q921" s="12"/>
      <c r="R921" s="11"/>
      <c r="S921" s="11"/>
      <c r="T921" s="11"/>
      <c r="U921" s="11"/>
      <c r="V921" s="12"/>
      <c r="W921" s="12"/>
      <c r="X921" s="12"/>
      <c r="Y921" s="12"/>
      <c r="Z921" s="12"/>
    </row>
    <row r="922" spans="1:26" x14ac:dyDescent="0.2">
      <c r="A922" s="12"/>
      <c r="B922" s="13"/>
      <c r="C922" s="123"/>
      <c r="D922" s="12"/>
      <c r="E922" s="55"/>
      <c r="F922" s="55"/>
      <c r="G922" s="55"/>
      <c r="H922" s="12"/>
      <c r="I922" s="12"/>
      <c r="J922" s="12"/>
      <c r="K922" s="12"/>
      <c r="L922" s="12"/>
      <c r="M922" s="12"/>
      <c r="N922" s="12"/>
      <c r="O922" s="12"/>
      <c r="P922" s="12"/>
      <c r="Q922" s="12"/>
      <c r="R922" s="11"/>
      <c r="S922" s="11"/>
      <c r="T922" s="11"/>
      <c r="U922" s="11"/>
      <c r="V922" s="12"/>
      <c r="W922" s="12"/>
      <c r="X922" s="12"/>
      <c r="Y922" s="12"/>
      <c r="Z922" s="12"/>
    </row>
    <row r="923" spans="1:26" x14ac:dyDescent="0.2">
      <c r="A923" s="12"/>
      <c r="B923" s="13"/>
      <c r="C923" s="123"/>
      <c r="D923" s="12"/>
      <c r="E923" s="55"/>
      <c r="F923" s="55"/>
      <c r="G923" s="55"/>
      <c r="H923" s="12"/>
      <c r="I923" s="12"/>
      <c r="J923" s="12"/>
      <c r="K923" s="12"/>
      <c r="L923" s="12"/>
      <c r="M923" s="12"/>
      <c r="N923" s="12"/>
      <c r="O923" s="12"/>
      <c r="P923" s="12"/>
      <c r="Q923" s="12"/>
      <c r="R923" s="11"/>
      <c r="S923" s="11"/>
      <c r="T923" s="11"/>
      <c r="U923" s="11"/>
      <c r="V923" s="12"/>
      <c r="W923" s="12"/>
      <c r="X923" s="12"/>
      <c r="Y923" s="12"/>
      <c r="Z923" s="12"/>
    </row>
    <row r="924" spans="1:26" x14ac:dyDescent="0.2">
      <c r="A924" s="12"/>
      <c r="B924" s="13"/>
      <c r="C924" s="123"/>
      <c r="D924" s="12"/>
      <c r="E924" s="55"/>
      <c r="F924" s="55"/>
      <c r="G924" s="55"/>
      <c r="H924" s="12"/>
      <c r="I924" s="12"/>
      <c r="J924" s="12"/>
      <c r="K924" s="12"/>
      <c r="L924" s="12"/>
      <c r="M924" s="12"/>
      <c r="N924" s="12"/>
      <c r="O924" s="12"/>
      <c r="P924" s="12"/>
      <c r="Q924" s="12"/>
      <c r="R924" s="11"/>
      <c r="S924" s="11"/>
      <c r="T924" s="11"/>
      <c r="U924" s="11"/>
      <c r="V924" s="12"/>
      <c r="W924" s="12"/>
      <c r="X924" s="12"/>
      <c r="Y924" s="12"/>
      <c r="Z924" s="12"/>
    </row>
    <row r="925" spans="1:26" x14ac:dyDescent="0.2">
      <c r="A925" s="12"/>
      <c r="B925" s="13"/>
      <c r="C925" s="123"/>
      <c r="D925" s="12"/>
      <c r="E925" s="55"/>
      <c r="F925" s="55"/>
      <c r="G925" s="55"/>
      <c r="H925" s="12"/>
      <c r="I925" s="12"/>
      <c r="J925" s="12"/>
      <c r="K925" s="12"/>
      <c r="L925" s="12"/>
      <c r="M925" s="12"/>
      <c r="N925" s="12"/>
      <c r="O925" s="12"/>
      <c r="P925" s="12"/>
      <c r="Q925" s="12"/>
      <c r="R925" s="11"/>
      <c r="S925" s="11"/>
      <c r="T925" s="11"/>
      <c r="U925" s="11"/>
      <c r="V925" s="12"/>
      <c r="W925" s="12"/>
      <c r="X925" s="12"/>
      <c r="Y925" s="12"/>
      <c r="Z925" s="12"/>
    </row>
    <row r="926" spans="1:26" x14ac:dyDescent="0.2">
      <c r="A926" s="12"/>
      <c r="B926" s="13"/>
      <c r="C926" s="123"/>
      <c r="D926" s="12"/>
      <c r="E926" s="55"/>
      <c r="F926" s="55"/>
      <c r="G926" s="55"/>
      <c r="H926" s="12"/>
      <c r="I926" s="12"/>
      <c r="J926" s="12"/>
      <c r="K926" s="12"/>
      <c r="L926" s="12"/>
      <c r="M926" s="12"/>
      <c r="N926" s="12"/>
      <c r="O926" s="12"/>
      <c r="P926" s="12"/>
      <c r="Q926" s="12"/>
      <c r="R926" s="11"/>
      <c r="S926" s="11"/>
      <c r="T926" s="11"/>
      <c r="U926" s="11"/>
      <c r="V926" s="12"/>
      <c r="W926" s="12"/>
      <c r="X926" s="12"/>
      <c r="Y926" s="12"/>
      <c r="Z926" s="12"/>
    </row>
    <row r="927" spans="1:26" x14ac:dyDescent="0.2">
      <c r="A927" s="12"/>
      <c r="B927" s="13"/>
      <c r="C927" s="123"/>
      <c r="D927" s="12"/>
      <c r="E927" s="55"/>
      <c r="F927" s="55"/>
      <c r="G927" s="55"/>
      <c r="H927" s="12"/>
      <c r="I927" s="12"/>
      <c r="J927" s="12"/>
      <c r="K927" s="12"/>
      <c r="L927" s="12"/>
      <c r="M927" s="12"/>
      <c r="N927" s="12"/>
      <c r="O927" s="12"/>
      <c r="P927" s="12"/>
      <c r="Q927" s="12"/>
      <c r="R927" s="11"/>
      <c r="S927" s="11"/>
      <c r="T927" s="11"/>
      <c r="U927" s="11"/>
      <c r="V927" s="12"/>
      <c r="W927" s="12"/>
      <c r="X927" s="12"/>
      <c r="Y927" s="12"/>
      <c r="Z927" s="12"/>
    </row>
    <row r="928" spans="1:26" x14ac:dyDescent="0.2">
      <c r="A928" s="12"/>
      <c r="B928" s="13"/>
      <c r="C928" s="123"/>
      <c r="D928" s="12"/>
      <c r="E928" s="55"/>
      <c r="F928" s="55"/>
      <c r="G928" s="55"/>
      <c r="H928" s="12"/>
      <c r="I928" s="12"/>
      <c r="J928" s="12"/>
      <c r="K928" s="12"/>
      <c r="L928" s="12"/>
      <c r="M928" s="12"/>
      <c r="N928" s="12"/>
      <c r="O928" s="12"/>
      <c r="P928" s="12"/>
      <c r="Q928" s="12"/>
      <c r="R928" s="11"/>
      <c r="S928" s="11"/>
      <c r="T928" s="11"/>
      <c r="U928" s="11"/>
      <c r="V928" s="12"/>
      <c r="W928" s="12"/>
      <c r="X928" s="12"/>
      <c r="Y928" s="12"/>
      <c r="Z928" s="12"/>
    </row>
    <row r="929" spans="1:26" x14ac:dyDescent="0.2">
      <c r="A929" s="12"/>
      <c r="B929" s="13"/>
      <c r="C929" s="123"/>
      <c r="D929" s="12"/>
      <c r="E929" s="55"/>
      <c r="F929" s="55"/>
      <c r="G929" s="55"/>
      <c r="H929" s="12"/>
      <c r="I929" s="12"/>
      <c r="J929" s="12"/>
      <c r="K929" s="12"/>
      <c r="L929" s="12"/>
      <c r="M929" s="12"/>
      <c r="N929" s="12"/>
      <c r="O929" s="12"/>
      <c r="P929" s="12"/>
      <c r="Q929" s="12"/>
      <c r="R929" s="11"/>
      <c r="S929" s="11"/>
      <c r="T929" s="11"/>
      <c r="U929" s="11"/>
      <c r="V929" s="12"/>
      <c r="W929" s="12"/>
      <c r="X929" s="12"/>
      <c r="Y929" s="12"/>
      <c r="Z929" s="12"/>
    </row>
    <row r="930" spans="1:26" x14ac:dyDescent="0.2">
      <c r="A930" s="12"/>
      <c r="B930" s="13"/>
      <c r="C930" s="123"/>
      <c r="D930" s="12"/>
      <c r="E930" s="55"/>
      <c r="F930" s="55"/>
      <c r="G930" s="55"/>
      <c r="H930" s="12"/>
      <c r="I930" s="12"/>
      <c r="J930" s="12"/>
      <c r="K930" s="12"/>
      <c r="L930" s="12"/>
      <c r="M930" s="12"/>
      <c r="N930" s="12"/>
      <c r="O930" s="12"/>
      <c r="P930" s="12"/>
      <c r="Q930" s="12"/>
      <c r="R930" s="11"/>
      <c r="S930" s="11"/>
      <c r="T930" s="11"/>
      <c r="U930" s="11"/>
      <c r="V930" s="12"/>
      <c r="W930" s="12"/>
      <c r="X930" s="12"/>
      <c r="Y930" s="12"/>
      <c r="Z930" s="12"/>
    </row>
    <row r="931" spans="1:26" x14ac:dyDescent="0.2">
      <c r="A931" s="12"/>
      <c r="B931" s="13"/>
      <c r="C931" s="123"/>
      <c r="D931" s="12"/>
      <c r="E931" s="55"/>
      <c r="F931" s="55"/>
      <c r="G931" s="55"/>
      <c r="H931" s="12"/>
      <c r="I931" s="12"/>
      <c r="J931" s="12"/>
      <c r="K931" s="12"/>
      <c r="L931" s="12"/>
      <c r="M931" s="12"/>
      <c r="N931" s="12"/>
      <c r="O931" s="12"/>
      <c r="P931" s="12"/>
      <c r="Q931" s="12"/>
      <c r="R931" s="11"/>
      <c r="S931" s="11"/>
      <c r="T931" s="11"/>
      <c r="U931" s="11"/>
      <c r="V931" s="12"/>
      <c r="W931" s="12"/>
      <c r="X931" s="12"/>
      <c r="Y931" s="12"/>
      <c r="Z931" s="12"/>
    </row>
    <row r="932" spans="1:26" x14ac:dyDescent="0.2">
      <c r="A932" s="12"/>
      <c r="B932" s="13"/>
      <c r="C932" s="123"/>
      <c r="D932" s="12"/>
      <c r="E932" s="55"/>
      <c r="F932" s="55"/>
      <c r="G932" s="55"/>
      <c r="H932" s="12"/>
      <c r="I932" s="12"/>
      <c r="J932" s="12"/>
      <c r="K932" s="12"/>
      <c r="L932" s="12"/>
      <c r="M932" s="12"/>
      <c r="N932" s="12"/>
      <c r="O932" s="12"/>
      <c r="P932" s="12"/>
      <c r="Q932" s="12"/>
      <c r="R932" s="11"/>
      <c r="S932" s="11"/>
      <c r="T932" s="11"/>
      <c r="U932" s="11"/>
      <c r="V932" s="12"/>
      <c r="W932" s="12"/>
      <c r="X932" s="12"/>
      <c r="Y932" s="12"/>
      <c r="Z932" s="12"/>
    </row>
    <row r="933" spans="1:26" x14ac:dyDescent="0.2">
      <c r="A933" s="12"/>
      <c r="B933" s="13"/>
      <c r="C933" s="123"/>
      <c r="D933" s="12"/>
      <c r="E933" s="55"/>
      <c r="F933" s="55"/>
      <c r="G933" s="55"/>
      <c r="H933" s="12"/>
      <c r="I933" s="12"/>
      <c r="J933" s="12"/>
      <c r="K933" s="12"/>
      <c r="L933" s="12"/>
      <c r="M933" s="12"/>
      <c r="N933" s="12"/>
      <c r="O933" s="12"/>
      <c r="P933" s="12"/>
      <c r="Q933" s="12"/>
      <c r="R933" s="11"/>
      <c r="S933" s="11"/>
      <c r="T933" s="11"/>
      <c r="U933" s="11"/>
      <c r="V933" s="12"/>
      <c r="W933" s="12"/>
      <c r="X933" s="12"/>
      <c r="Y933" s="12"/>
      <c r="Z933" s="12"/>
    </row>
    <row r="934" spans="1:26" x14ac:dyDescent="0.2">
      <c r="A934" s="12"/>
      <c r="B934" s="13"/>
      <c r="C934" s="123"/>
      <c r="D934" s="12"/>
      <c r="E934" s="55"/>
      <c r="F934" s="55"/>
      <c r="G934" s="55"/>
      <c r="H934" s="12"/>
      <c r="I934" s="12"/>
      <c r="J934" s="12"/>
      <c r="K934" s="12"/>
      <c r="L934" s="12"/>
      <c r="M934" s="12"/>
      <c r="N934" s="12"/>
      <c r="O934" s="12"/>
      <c r="P934" s="12"/>
      <c r="Q934" s="12"/>
      <c r="R934" s="11"/>
      <c r="S934" s="11"/>
      <c r="T934" s="11"/>
      <c r="U934" s="11"/>
      <c r="V934" s="12"/>
      <c r="W934" s="12"/>
      <c r="X934" s="12"/>
      <c r="Y934" s="12"/>
      <c r="Z934" s="12"/>
    </row>
    <row r="935" spans="1:26" x14ac:dyDescent="0.2">
      <c r="A935" s="12"/>
      <c r="B935" s="13"/>
      <c r="C935" s="123"/>
      <c r="D935" s="12"/>
      <c r="E935" s="55"/>
      <c r="F935" s="55"/>
      <c r="G935" s="55"/>
      <c r="H935" s="12"/>
      <c r="I935" s="12"/>
      <c r="J935" s="12"/>
      <c r="K935" s="12"/>
      <c r="L935" s="12"/>
      <c r="M935" s="12"/>
      <c r="N935" s="12"/>
      <c r="O935" s="12"/>
      <c r="P935" s="12"/>
      <c r="Q935" s="12"/>
      <c r="R935" s="11"/>
      <c r="S935" s="11"/>
      <c r="T935" s="11"/>
      <c r="U935" s="11"/>
      <c r="V935" s="12"/>
      <c r="W935" s="12"/>
      <c r="X935" s="12"/>
      <c r="Y935" s="12"/>
      <c r="Z935" s="12"/>
    </row>
    <row r="936" spans="1:26" x14ac:dyDescent="0.2">
      <c r="A936" s="12"/>
      <c r="B936" s="13"/>
      <c r="C936" s="123"/>
      <c r="D936" s="12"/>
      <c r="E936" s="55"/>
      <c r="F936" s="55"/>
      <c r="G936" s="55"/>
      <c r="H936" s="12"/>
      <c r="I936" s="12"/>
      <c r="J936" s="12"/>
      <c r="K936" s="12"/>
      <c r="L936" s="12"/>
      <c r="M936" s="12"/>
      <c r="N936" s="12"/>
      <c r="O936" s="12"/>
      <c r="P936" s="12"/>
      <c r="Q936" s="12"/>
      <c r="R936" s="11"/>
      <c r="S936" s="11"/>
      <c r="T936" s="11"/>
      <c r="U936" s="11"/>
      <c r="V936" s="12"/>
      <c r="W936" s="12"/>
      <c r="X936" s="12"/>
      <c r="Y936" s="12"/>
      <c r="Z936" s="12"/>
    </row>
    <row r="937" spans="1:26" x14ac:dyDescent="0.2">
      <c r="A937" s="12"/>
      <c r="B937" s="13"/>
      <c r="C937" s="123"/>
      <c r="D937" s="12"/>
      <c r="E937" s="55"/>
      <c r="F937" s="55"/>
      <c r="G937" s="55"/>
      <c r="H937" s="12"/>
      <c r="I937" s="12"/>
      <c r="J937" s="12"/>
      <c r="K937" s="12"/>
      <c r="L937" s="12"/>
      <c r="M937" s="12"/>
      <c r="N937" s="12"/>
      <c r="O937" s="12"/>
      <c r="P937" s="12"/>
      <c r="Q937" s="12"/>
      <c r="R937" s="11"/>
      <c r="S937" s="11"/>
      <c r="T937" s="11"/>
      <c r="U937" s="11"/>
      <c r="V937" s="12"/>
      <c r="W937" s="12"/>
      <c r="X937" s="12"/>
      <c r="Y937" s="12"/>
      <c r="Z937" s="12"/>
    </row>
    <row r="938" spans="1:26" x14ac:dyDescent="0.2">
      <c r="A938" s="12"/>
      <c r="B938" s="13"/>
      <c r="C938" s="123"/>
      <c r="D938" s="12"/>
      <c r="E938" s="55"/>
      <c r="F938" s="55"/>
      <c r="G938" s="55"/>
      <c r="H938" s="12"/>
      <c r="I938" s="12"/>
      <c r="J938" s="12"/>
      <c r="K938" s="12"/>
      <c r="L938" s="12"/>
      <c r="M938" s="12"/>
      <c r="N938" s="12"/>
      <c r="O938" s="12"/>
      <c r="P938" s="12"/>
      <c r="Q938" s="12"/>
      <c r="R938" s="11"/>
      <c r="S938" s="11"/>
      <c r="T938" s="11"/>
      <c r="U938" s="11"/>
      <c r="V938" s="12"/>
      <c r="W938" s="12"/>
      <c r="X938" s="12"/>
      <c r="Y938" s="12"/>
      <c r="Z938" s="12"/>
    </row>
    <row r="939" spans="1:26" x14ac:dyDescent="0.2">
      <c r="A939" s="12"/>
      <c r="B939" s="13"/>
      <c r="C939" s="123"/>
      <c r="D939" s="12"/>
      <c r="E939" s="55"/>
      <c r="F939" s="55"/>
      <c r="G939" s="55"/>
      <c r="H939" s="12"/>
      <c r="I939" s="12"/>
      <c r="J939" s="12"/>
      <c r="K939" s="12"/>
      <c r="L939" s="12"/>
      <c r="M939" s="12"/>
      <c r="N939" s="12"/>
      <c r="O939" s="12"/>
      <c r="P939" s="12"/>
      <c r="Q939" s="12"/>
      <c r="R939" s="11"/>
      <c r="S939" s="11"/>
      <c r="T939" s="11"/>
      <c r="U939" s="11"/>
      <c r="V939" s="12"/>
      <c r="W939" s="12"/>
      <c r="X939" s="12"/>
      <c r="Y939" s="12"/>
      <c r="Z939" s="12"/>
    </row>
    <row r="940" spans="1:26" x14ac:dyDescent="0.2">
      <c r="A940" s="12"/>
      <c r="B940" s="13"/>
      <c r="C940" s="123"/>
      <c r="D940" s="12"/>
      <c r="E940" s="55"/>
      <c r="F940" s="55"/>
      <c r="G940" s="55"/>
      <c r="H940" s="12"/>
      <c r="I940" s="12"/>
      <c r="J940" s="12"/>
      <c r="K940" s="12"/>
      <c r="L940" s="12"/>
      <c r="M940" s="12"/>
      <c r="N940" s="12"/>
      <c r="O940" s="12"/>
      <c r="P940" s="12"/>
      <c r="Q940" s="12"/>
      <c r="R940" s="11"/>
      <c r="S940" s="11"/>
      <c r="T940" s="11"/>
      <c r="U940" s="11"/>
      <c r="V940" s="12"/>
      <c r="W940" s="12"/>
      <c r="X940" s="12"/>
      <c r="Y940" s="12"/>
      <c r="Z940" s="12"/>
    </row>
    <row r="941" spans="1:26" x14ac:dyDescent="0.2">
      <c r="A941" s="12"/>
      <c r="B941" s="13"/>
      <c r="C941" s="123"/>
      <c r="D941" s="12"/>
      <c r="E941" s="55"/>
      <c r="F941" s="55"/>
      <c r="G941" s="55"/>
      <c r="H941" s="12"/>
      <c r="I941" s="12"/>
      <c r="J941" s="12"/>
      <c r="K941" s="12"/>
      <c r="L941" s="12"/>
      <c r="M941" s="12"/>
      <c r="N941" s="12"/>
      <c r="O941" s="12"/>
      <c r="P941" s="12"/>
      <c r="Q941" s="12"/>
      <c r="R941" s="11"/>
      <c r="S941" s="11"/>
      <c r="T941" s="11"/>
      <c r="U941" s="11"/>
      <c r="V941" s="12"/>
      <c r="W941" s="12"/>
      <c r="X941" s="12"/>
      <c r="Y941" s="12"/>
      <c r="Z941" s="12"/>
    </row>
    <row r="942" spans="1:26" x14ac:dyDescent="0.2">
      <c r="A942" s="12"/>
      <c r="B942" s="13"/>
      <c r="C942" s="123"/>
      <c r="D942" s="12"/>
      <c r="E942" s="55"/>
      <c r="F942" s="55"/>
      <c r="G942" s="55"/>
      <c r="H942" s="12"/>
      <c r="I942" s="12"/>
      <c r="J942" s="12"/>
      <c r="K942" s="12"/>
      <c r="L942" s="12"/>
      <c r="M942" s="12"/>
      <c r="N942" s="12"/>
      <c r="O942" s="12"/>
      <c r="P942" s="12"/>
      <c r="Q942" s="12"/>
      <c r="R942" s="11"/>
      <c r="S942" s="11"/>
      <c r="T942" s="11"/>
      <c r="U942" s="11"/>
      <c r="V942" s="12"/>
      <c r="W942" s="12"/>
      <c r="X942" s="12"/>
      <c r="Y942" s="12"/>
      <c r="Z942" s="12"/>
    </row>
    <row r="943" spans="1:26" x14ac:dyDescent="0.2">
      <c r="A943" s="12"/>
      <c r="B943" s="13"/>
      <c r="C943" s="123"/>
      <c r="D943" s="12"/>
      <c r="E943" s="55"/>
      <c r="F943" s="55"/>
      <c r="G943" s="55"/>
      <c r="H943" s="12"/>
      <c r="I943" s="12"/>
      <c r="J943" s="12"/>
      <c r="K943" s="12"/>
      <c r="L943" s="12"/>
      <c r="M943" s="12"/>
      <c r="N943" s="12"/>
      <c r="O943" s="12"/>
      <c r="P943" s="12"/>
      <c r="Q943" s="12"/>
      <c r="R943" s="11"/>
      <c r="S943" s="11"/>
      <c r="T943" s="11"/>
      <c r="U943" s="11"/>
      <c r="V943" s="12"/>
      <c r="W943" s="12"/>
      <c r="X943" s="12"/>
      <c r="Y943" s="12"/>
      <c r="Z943" s="12"/>
    </row>
    <row r="944" spans="1:26" x14ac:dyDescent="0.2">
      <c r="A944" s="12"/>
      <c r="B944" s="13"/>
      <c r="C944" s="123"/>
      <c r="D944" s="12"/>
      <c r="E944" s="55"/>
      <c r="F944" s="55"/>
      <c r="G944" s="55"/>
      <c r="H944" s="12"/>
      <c r="I944" s="12"/>
      <c r="J944" s="12"/>
      <c r="K944" s="12"/>
      <c r="L944" s="12"/>
      <c r="M944" s="12"/>
      <c r="N944" s="12"/>
      <c r="O944" s="12"/>
      <c r="P944" s="12"/>
      <c r="Q944" s="12"/>
      <c r="R944" s="11"/>
      <c r="S944" s="11"/>
      <c r="T944" s="11"/>
      <c r="U944" s="11"/>
      <c r="V944" s="12"/>
      <c r="W944" s="12"/>
      <c r="X944" s="12"/>
      <c r="Y944" s="12"/>
      <c r="Z944" s="12"/>
    </row>
    <row r="945" spans="1:26" x14ac:dyDescent="0.2">
      <c r="A945" s="12"/>
      <c r="B945" s="13"/>
      <c r="C945" s="123"/>
      <c r="D945" s="12"/>
      <c r="E945" s="55"/>
      <c r="F945" s="55"/>
      <c r="G945" s="55"/>
      <c r="H945" s="12"/>
      <c r="I945" s="12"/>
      <c r="J945" s="12"/>
      <c r="K945" s="12"/>
      <c r="L945" s="12"/>
      <c r="M945" s="12"/>
      <c r="N945" s="12"/>
      <c r="O945" s="12"/>
      <c r="P945" s="12"/>
      <c r="Q945" s="12"/>
      <c r="R945" s="11"/>
      <c r="S945" s="11"/>
      <c r="T945" s="11"/>
      <c r="U945" s="11"/>
      <c r="V945" s="12"/>
      <c r="W945" s="12"/>
      <c r="X945" s="12"/>
      <c r="Y945" s="12"/>
      <c r="Z945" s="12"/>
    </row>
    <row r="946" spans="1:26" x14ac:dyDescent="0.2">
      <c r="A946" s="12"/>
      <c r="B946" s="13"/>
      <c r="C946" s="123"/>
      <c r="D946" s="12"/>
      <c r="E946" s="55"/>
      <c r="F946" s="55"/>
      <c r="G946" s="55"/>
      <c r="H946" s="12"/>
      <c r="I946" s="12"/>
      <c r="J946" s="12"/>
      <c r="K946" s="12"/>
      <c r="L946" s="12"/>
      <c r="M946" s="12"/>
      <c r="N946" s="12"/>
      <c r="O946" s="12"/>
      <c r="P946" s="12"/>
      <c r="Q946" s="12"/>
      <c r="R946" s="11"/>
      <c r="S946" s="11"/>
      <c r="T946" s="11"/>
      <c r="U946" s="11"/>
      <c r="V946" s="12"/>
      <c r="W946" s="12"/>
      <c r="X946" s="12"/>
      <c r="Y946" s="12"/>
      <c r="Z946" s="12"/>
    </row>
    <row r="947" spans="1:26" x14ac:dyDescent="0.2">
      <c r="A947" s="12"/>
      <c r="B947" s="13"/>
      <c r="C947" s="123"/>
      <c r="D947" s="12"/>
      <c r="E947" s="55"/>
      <c r="F947" s="55"/>
      <c r="G947" s="55"/>
      <c r="H947" s="12"/>
      <c r="I947" s="12"/>
      <c r="J947" s="12"/>
      <c r="K947" s="12"/>
      <c r="L947" s="12"/>
      <c r="M947" s="12"/>
      <c r="N947" s="12"/>
      <c r="O947" s="12"/>
      <c r="P947" s="12"/>
      <c r="Q947" s="12"/>
      <c r="R947" s="11"/>
      <c r="S947" s="11"/>
      <c r="T947" s="11"/>
      <c r="U947" s="11"/>
      <c r="V947" s="12"/>
      <c r="W947" s="12"/>
      <c r="X947" s="12"/>
      <c r="Y947" s="12"/>
      <c r="Z947" s="12"/>
    </row>
    <row r="948" spans="1:26" x14ac:dyDescent="0.2">
      <c r="A948" s="12"/>
      <c r="B948" s="13"/>
      <c r="C948" s="123"/>
      <c r="D948" s="12"/>
      <c r="E948" s="55"/>
      <c r="F948" s="55"/>
      <c r="G948" s="55"/>
      <c r="H948" s="12"/>
      <c r="I948" s="12"/>
      <c r="J948" s="12"/>
      <c r="K948" s="12"/>
      <c r="L948" s="12"/>
      <c r="M948" s="12"/>
      <c r="N948" s="12"/>
      <c r="O948" s="12"/>
      <c r="P948" s="12"/>
      <c r="Q948" s="12"/>
      <c r="R948" s="11"/>
      <c r="S948" s="11"/>
      <c r="T948" s="11"/>
      <c r="U948" s="11"/>
      <c r="V948" s="12"/>
      <c r="W948" s="12"/>
      <c r="X948" s="12"/>
      <c r="Y948" s="12"/>
      <c r="Z948" s="12"/>
    </row>
    <row r="949" spans="1:26" x14ac:dyDescent="0.2">
      <c r="A949" s="12"/>
      <c r="B949" s="13"/>
      <c r="C949" s="123"/>
      <c r="D949" s="12"/>
      <c r="E949" s="55"/>
      <c r="F949" s="55"/>
      <c r="G949" s="55"/>
      <c r="H949" s="12"/>
      <c r="I949" s="12"/>
      <c r="J949" s="12"/>
      <c r="K949" s="12"/>
      <c r="L949" s="12"/>
      <c r="M949" s="12"/>
      <c r="N949" s="12"/>
      <c r="O949" s="12"/>
      <c r="P949" s="12"/>
      <c r="Q949" s="12"/>
      <c r="R949" s="11"/>
      <c r="S949" s="11"/>
      <c r="T949" s="11"/>
      <c r="U949" s="11"/>
      <c r="V949" s="12"/>
      <c r="W949" s="12"/>
      <c r="X949" s="12"/>
      <c r="Y949" s="12"/>
      <c r="Z949" s="12"/>
    </row>
    <row r="950" spans="1:26" x14ac:dyDescent="0.2">
      <c r="A950" s="12"/>
      <c r="B950" s="13"/>
      <c r="C950" s="123"/>
      <c r="D950" s="12"/>
      <c r="E950" s="55"/>
      <c r="F950" s="55"/>
      <c r="G950" s="55"/>
      <c r="H950" s="12"/>
      <c r="I950" s="12"/>
      <c r="J950" s="12"/>
      <c r="K950" s="12"/>
      <c r="L950" s="12"/>
      <c r="M950" s="12"/>
      <c r="N950" s="12"/>
      <c r="O950" s="12"/>
      <c r="P950" s="12"/>
      <c r="Q950" s="12"/>
      <c r="R950" s="11"/>
      <c r="S950" s="11"/>
      <c r="T950" s="11"/>
      <c r="U950" s="11"/>
      <c r="V950" s="12"/>
      <c r="W950" s="12"/>
      <c r="X950" s="12"/>
      <c r="Y950" s="12"/>
      <c r="Z950" s="12"/>
    </row>
    <row r="951" spans="1:26" x14ac:dyDescent="0.2">
      <c r="A951" s="12"/>
      <c r="B951" s="13"/>
      <c r="C951" s="123"/>
      <c r="D951" s="12"/>
      <c r="E951" s="55"/>
      <c r="F951" s="55"/>
      <c r="G951" s="55"/>
      <c r="H951" s="12"/>
      <c r="I951" s="12"/>
      <c r="J951" s="12"/>
      <c r="K951" s="12"/>
      <c r="L951" s="12"/>
      <c r="M951" s="12"/>
      <c r="N951" s="12"/>
      <c r="O951" s="12"/>
      <c r="P951" s="12"/>
      <c r="Q951" s="12"/>
      <c r="R951" s="11"/>
      <c r="S951" s="11"/>
      <c r="T951" s="11"/>
      <c r="U951" s="11"/>
      <c r="V951" s="12"/>
      <c r="W951" s="12"/>
      <c r="X951" s="12"/>
      <c r="Y951" s="12"/>
      <c r="Z951" s="12"/>
    </row>
    <row r="952" spans="1:26" x14ac:dyDescent="0.2">
      <c r="A952" s="12"/>
      <c r="B952" s="13"/>
      <c r="C952" s="123"/>
      <c r="D952" s="12"/>
      <c r="E952" s="55"/>
      <c r="F952" s="55"/>
      <c r="G952" s="55"/>
      <c r="H952" s="12"/>
      <c r="I952" s="12"/>
      <c r="J952" s="12"/>
      <c r="K952" s="12"/>
      <c r="L952" s="12"/>
      <c r="M952" s="12"/>
      <c r="N952" s="12"/>
      <c r="O952" s="12"/>
      <c r="P952" s="12"/>
      <c r="Q952" s="12"/>
      <c r="R952" s="11"/>
      <c r="S952" s="11"/>
      <c r="T952" s="11"/>
      <c r="U952" s="11"/>
      <c r="V952" s="12"/>
      <c r="W952" s="12"/>
      <c r="X952" s="12"/>
      <c r="Y952" s="12"/>
      <c r="Z952" s="12"/>
    </row>
    <row r="953" spans="1:26" x14ac:dyDescent="0.2">
      <c r="A953" s="12"/>
      <c r="B953" s="13"/>
      <c r="C953" s="123"/>
      <c r="D953" s="12"/>
      <c r="E953" s="55"/>
      <c r="F953" s="55"/>
      <c r="G953" s="55"/>
      <c r="H953" s="12"/>
      <c r="I953" s="12"/>
      <c r="J953" s="12"/>
      <c r="K953" s="12"/>
      <c r="L953" s="12"/>
      <c r="M953" s="12"/>
      <c r="N953" s="12"/>
      <c r="O953" s="12"/>
      <c r="P953" s="12"/>
      <c r="Q953" s="12"/>
      <c r="R953" s="11"/>
      <c r="S953" s="11"/>
      <c r="T953" s="11"/>
      <c r="U953" s="11"/>
      <c r="V953" s="12"/>
      <c r="W953" s="12"/>
      <c r="X953" s="12"/>
      <c r="Y953" s="12"/>
      <c r="Z953" s="12"/>
    </row>
    <row r="954" spans="1:26" x14ac:dyDescent="0.2">
      <c r="A954" s="12"/>
      <c r="B954" s="13"/>
      <c r="C954" s="123"/>
      <c r="D954" s="12"/>
      <c r="E954" s="55"/>
      <c r="F954" s="55"/>
      <c r="G954" s="55"/>
      <c r="H954" s="12"/>
      <c r="I954" s="12"/>
      <c r="J954" s="12"/>
      <c r="K954" s="12"/>
      <c r="L954" s="12"/>
      <c r="M954" s="12"/>
      <c r="N954" s="12"/>
      <c r="O954" s="12"/>
      <c r="P954" s="12"/>
      <c r="Q954" s="12"/>
      <c r="R954" s="11"/>
      <c r="S954" s="11"/>
      <c r="T954" s="11"/>
      <c r="U954" s="11"/>
      <c r="V954" s="12"/>
      <c r="W954" s="12"/>
      <c r="X954" s="12"/>
      <c r="Y954" s="12"/>
      <c r="Z954" s="12"/>
    </row>
    <row r="955" spans="1:26" x14ac:dyDescent="0.2">
      <c r="A955" s="12"/>
      <c r="B955" s="13"/>
      <c r="C955" s="123"/>
      <c r="D955" s="12"/>
      <c r="E955" s="55"/>
      <c r="F955" s="55"/>
      <c r="G955" s="55"/>
      <c r="H955" s="12"/>
      <c r="I955" s="12"/>
      <c r="J955" s="12"/>
      <c r="K955" s="12"/>
      <c r="L955" s="12"/>
      <c r="M955" s="12"/>
      <c r="N955" s="12"/>
      <c r="O955" s="12"/>
      <c r="P955" s="12"/>
      <c r="Q955" s="12"/>
      <c r="R955" s="11"/>
      <c r="S955" s="11"/>
      <c r="T955" s="11"/>
      <c r="U955" s="11"/>
      <c r="V955" s="12"/>
      <c r="W955" s="12"/>
      <c r="X955" s="12"/>
      <c r="Y955" s="12"/>
      <c r="Z955" s="12"/>
    </row>
    <row r="956" spans="1:26" x14ac:dyDescent="0.2">
      <c r="A956" s="12"/>
      <c r="B956" s="13"/>
      <c r="C956" s="123"/>
      <c r="D956" s="12"/>
      <c r="E956" s="55"/>
      <c r="F956" s="55"/>
      <c r="G956" s="55"/>
      <c r="H956" s="12"/>
      <c r="I956" s="12"/>
      <c r="J956" s="12"/>
      <c r="K956" s="12"/>
      <c r="L956" s="12"/>
      <c r="M956" s="12"/>
      <c r="N956" s="12"/>
      <c r="O956" s="12"/>
      <c r="P956" s="12"/>
      <c r="Q956" s="12"/>
      <c r="R956" s="11"/>
      <c r="S956" s="11"/>
      <c r="T956" s="11"/>
      <c r="U956" s="11"/>
      <c r="V956" s="12"/>
      <c r="W956" s="12"/>
      <c r="X956" s="12"/>
      <c r="Y956" s="12"/>
      <c r="Z956" s="12"/>
    </row>
    <row r="957" spans="1:26" x14ac:dyDescent="0.2">
      <c r="A957" s="12"/>
      <c r="B957" s="13"/>
      <c r="C957" s="123"/>
      <c r="D957" s="12"/>
      <c r="E957" s="55"/>
      <c r="F957" s="55"/>
      <c r="G957" s="55"/>
      <c r="H957" s="12"/>
      <c r="I957" s="12"/>
      <c r="J957" s="12"/>
      <c r="K957" s="12"/>
      <c r="L957" s="12"/>
      <c r="M957" s="12"/>
      <c r="N957" s="12"/>
      <c r="O957" s="12"/>
      <c r="P957" s="12"/>
      <c r="Q957" s="12"/>
      <c r="R957" s="11"/>
      <c r="S957" s="11"/>
      <c r="T957" s="11"/>
      <c r="U957" s="11"/>
      <c r="V957" s="12"/>
      <c r="W957" s="12"/>
      <c r="X957" s="12"/>
      <c r="Y957" s="12"/>
      <c r="Z957" s="12"/>
    </row>
    <row r="958" spans="1:26" x14ac:dyDescent="0.2">
      <c r="A958" s="12"/>
      <c r="B958" s="13"/>
      <c r="C958" s="123"/>
      <c r="D958" s="12"/>
      <c r="E958" s="55"/>
      <c r="F958" s="55"/>
      <c r="G958" s="55"/>
      <c r="H958" s="12"/>
      <c r="I958" s="12"/>
      <c r="J958" s="12"/>
      <c r="K958" s="12"/>
      <c r="L958" s="12"/>
      <c r="M958" s="12"/>
      <c r="N958" s="12"/>
      <c r="O958" s="12"/>
      <c r="P958" s="12"/>
      <c r="Q958" s="12"/>
      <c r="R958" s="11"/>
      <c r="S958" s="11"/>
      <c r="T958" s="11"/>
      <c r="U958" s="11"/>
      <c r="V958" s="12"/>
      <c r="W958" s="12"/>
      <c r="X958" s="12"/>
      <c r="Y958" s="12"/>
      <c r="Z958" s="12"/>
    </row>
    <row r="959" spans="1:26" x14ac:dyDescent="0.2">
      <c r="A959" s="12"/>
      <c r="B959" s="13"/>
      <c r="C959" s="123"/>
      <c r="D959" s="12"/>
      <c r="E959" s="55"/>
      <c r="F959" s="55"/>
      <c r="G959" s="55"/>
      <c r="H959" s="12"/>
      <c r="I959" s="12"/>
      <c r="J959" s="12"/>
      <c r="K959" s="12"/>
      <c r="L959" s="12"/>
      <c r="M959" s="12"/>
      <c r="N959" s="12"/>
      <c r="O959" s="12"/>
      <c r="P959" s="12"/>
      <c r="Q959" s="12"/>
      <c r="R959" s="11"/>
      <c r="S959" s="11"/>
      <c r="T959" s="11"/>
      <c r="U959" s="11"/>
      <c r="V959" s="12"/>
      <c r="W959" s="12"/>
      <c r="X959" s="12"/>
      <c r="Y959" s="12"/>
      <c r="Z959" s="12"/>
    </row>
    <row r="960" spans="1:26" x14ac:dyDescent="0.2">
      <c r="A960" s="12"/>
      <c r="B960" s="13"/>
      <c r="C960" s="123"/>
      <c r="D960" s="12"/>
      <c r="E960" s="55"/>
      <c r="F960" s="55"/>
      <c r="G960" s="55"/>
      <c r="H960" s="12"/>
      <c r="I960" s="12"/>
      <c r="J960" s="12"/>
      <c r="K960" s="12"/>
      <c r="L960" s="12"/>
      <c r="M960" s="12"/>
      <c r="N960" s="12"/>
      <c r="O960" s="12"/>
      <c r="P960" s="12"/>
      <c r="Q960" s="12"/>
      <c r="R960" s="11"/>
      <c r="S960" s="11"/>
      <c r="T960" s="11"/>
      <c r="U960" s="11"/>
      <c r="V960" s="12"/>
      <c r="W960" s="12"/>
      <c r="X960" s="12"/>
      <c r="Y960" s="12"/>
      <c r="Z960" s="12"/>
    </row>
    <row r="961" spans="1:26" x14ac:dyDescent="0.2">
      <c r="A961" s="12"/>
      <c r="B961" s="13"/>
      <c r="C961" s="123"/>
      <c r="D961" s="12"/>
      <c r="E961" s="55"/>
      <c r="F961" s="55"/>
      <c r="G961" s="55"/>
      <c r="H961" s="12"/>
      <c r="I961" s="12"/>
      <c r="J961" s="12"/>
      <c r="K961" s="12"/>
      <c r="L961" s="12"/>
      <c r="M961" s="12"/>
      <c r="N961" s="12"/>
      <c r="O961" s="12"/>
      <c r="P961" s="12"/>
      <c r="Q961" s="12"/>
      <c r="R961" s="11"/>
      <c r="S961" s="11"/>
      <c r="T961" s="11"/>
      <c r="U961" s="11"/>
      <c r="V961" s="12"/>
      <c r="W961" s="12"/>
      <c r="X961" s="12"/>
      <c r="Y961" s="12"/>
      <c r="Z961" s="12"/>
    </row>
    <row r="962" spans="1:26" x14ac:dyDescent="0.2">
      <c r="A962" s="12"/>
      <c r="B962" s="13"/>
      <c r="C962" s="123"/>
      <c r="D962" s="12"/>
      <c r="E962" s="55"/>
      <c r="F962" s="55"/>
      <c r="G962" s="55"/>
      <c r="H962" s="12"/>
      <c r="I962" s="12"/>
      <c r="J962" s="12"/>
      <c r="K962" s="12"/>
      <c r="L962" s="12"/>
      <c r="M962" s="12"/>
      <c r="N962" s="12"/>
      <c r="O962" s="12"/>
      <c r="P962" s="12"/>
      <c r="Q962" s="12"/>
      <c r="R962" s="11"/>
      <c r="S962" s="11"/>
      <c r="T962" s="11"/>
      <c r="U962" s="11"/>
      <c r="V962" s="12"/>
      <c r="W962" s="12"/>
      <c r="X962" s="12"/>
      <c r="Y962" s="12"/>
      <c r="Z962" s="12"/>
    </row>
    <row r="963" spans="1:26" x14ac:dyDescent="0.2">
      <c r="A963" s="12"/>
      <c r="B963" s="13"/>
      <c r="C963" s="123"/>
      <c r="D963" s="12"/>
      <c r="E963" s="55"/>
      <c r="F963" s="55"/>
      <c r="G963" s="55"/>
      <c r="H963" s="12"/>
      <c r="I963" s="12"/>
      <c r="J963" s="12"/>
      <c r="K963" s="12"/>
      <c r="L963" s="12"/>
      <c r="M963" s="12"/>
      <c r="N963" s="12"/>
      <c r="O963" s="12"/>
      <c r="P963" s="12"/>
      <c r="Q963" s="12"/>
      <c r="R963" s="11"/>
      <c r="S963" s="11"/>
      <c r="T963" s="11"/>
      <c r="U963" s="11"/>
      <c r="V963" s="12"/>
      <c r="W963" s="12"/>
      <c r="X963" s="12"/>
      <c r="Y963" s="12"/>
      <c r="Z963" s="12"/>
    </row>
    <row r="964" spans="1:26" x14ac:dyDescent="0.2">
      <c r="A964" s="12"/>
      <c r="B964" s="13"/>
      <c r="C964" s="123"/>
      <c r="D964" s="12"/>
      <c r="E964" s="55"/>
      <c r="F964" s="55"/>
      <c r="G964" s="55"/>
      <c r="H964" s="12"/>
      <c r="I964" s="12"/>
      <c r="J964" s="12"/>
      <c r="K964" s="12"/>
      <c r="L964" s="12"/>
      <c r="M964" s="12"/>
      <c r="N964" s="12"/>
      <c r="O964" s="12"/>
      <c r="P964" s="12"/>
      <c r="Q964" s="12"/>
      <c r="R964" s="11"/>
      <c r="S964" s="11"/>
      <c r="T964" s="11"/>
      <c r="U964" s="11"/>
      <c r="V964" s="12"/>
      <c r="W964" s="12"/>
      <c r="X964" s="12"/>
      <c r="Y964" s="12"/>
      <c r="Z964" s="12"/>
    </row>
    <row r="965" spans="1:26" x14ac:dyDescent="0.2">
      <c r="A965" s="12"/>
      <c r="B965" s="13"/>
      <c r="C965" s="123"/>
      <c r="D965" s="12"/>
      <c r="E965" s="55"/>
      <c r="F965" s="55"/>
      <c r="G965" s="55"/>
      <c r="H965" s="12"/>
      <c r="I965" s="12"/>
      <c r="J965" s="12"/>
      <c r="K965" s="12"/>
      <c r="L965" s="12"/>
      <c r="M965" s="12"/>
      <c r="N965" s="12"/>
      <c r="O965" s="12"/>
      <c r="P965" s="12"/>
      <c r="Q965" s="12"/>
      <c r="R965" s="11"/>
      <c r="S965" s="11"/>
      <c r="T965" s="11"/>
      <c r="U965" s="11"/>
      <c r="V965" s="12"/>
      <c r="W965" s="12"/>
      <c r="X965" s="12"/>
      <c r="Y965" s="12"/>
      <c r="Z965" s="12"/>
    </row>
    <row r="966" spans="1:26" x14ac:dyDescent="0.2">
      <c r="A966" s="12"/>
      <c r="B966" s="13"/>
      <c r="C966" s="123"/>
      <c r="D966" s="12"/>
      <c r="E966" s="55"/>
      <c r="F966" s="55"/>
      <c r="G966" s="55"/>
      <c r="H966" s="12"/>
      <c r="I966" s="12"/>
      <c r="J966" s="12"/>
      <c r="K966" s="12"/>
      <c r="L966" s="12"/>
      <c r="M966" s="12"/>
      <c r="N966" s="12"/>
      <c r="O966" s="12"/>
      <c r="P966" s="12"/>
      <c r="Q966" s="12"/>
      <c r="R966" s="11"/>
      <c r="S966" s="11"/>
      <c r="T966" s="11"/>
      <c r="U966" s="11"/>
      <c r="V966" s="12"/>
      <c r="W966" s="12"/>
      <c r="X966" s="12"/>
      <c r="Y966" s="12"/>
      <c r="Z966" s="12"/>
    </row>
    <row r="967" spans="1:26" x14ac:dyDescent="0.2">
      <c r="A967" s="12"/>
      <c r="B967" s="13"/>
      <c r="C967" s="123"/>
      <c r="D967" s="12"/>
      <c r="E967" s="55"/>
      <c r="F967" s="55"/>
      <c r="G967" s="55"/>
      <c r="H967" s="12"/>
      <c r="I967" s="12"/>
      <c r="J967" s="12"/>
      <c r="K967" s="12"/>
      <c r="L967" s="12"/>
      <c r="M967" s="12"/>
      <c r="N967" s="12"/>
      <c r="O967" s="12"/>
      <c r="P967" s="12"/>
      <c r="Q967" s="12"/>
      <c r="R967" s="11"/>
      <c r="S967" s="11"/>
      <c r="T967" s="11"/>
      <c r="U967" s="11"/>
      <c r="V967" s="12"/>
      <c r="W967" s="12"/>
      <c r="X967" s="12"/>
      <c r="Y967" s="12"/>
      <c r="Z967" s="12"/>
    </row>
    <row r="968" spans="1:26" x14ac:dyDescent="0.2">
      <c r="A968" s="12"/>
      <c r="B968" s="13"/>
      <c r="C968" s="123"/>
      <c r="D968" s="12"/>
      <c r="E968" s="55"/>
      <c r="F968" s="55"/>
      <c r="G968" s="55"/>
      <c r="H968" s="12"/>
      <c r="I968" s="12"/>
      <c r="J968" s="12"/>
      <c r="K968" s="12"/>
      <c r="L968" s="12"/>
      <c r="M968" s="12"/>
      <c r="N968" s="12"/>
      <c r="O968" s="12"/>
      <c r="P968" s="12"/>
      <c r="Q968" s="12"/>
      <c r="R968" s="11"/>
      <c r="S968" s="11"/>
      <c r="T968" s="11"/>
      <c r="U968" s="11"/>
      <c r="V968" s="12"/>
      <c r="W968" s="12"/>
      <c r="X968" s="12"/>
      <c r="Y968" s="12"/>
      <c r="Z968" s="12"/>
    </row>
    <row r="969" spans="1:26" x14ac:dyDescent="0.2">
      <c r="A969" s="12"/>
      <c r="B969" s="13"/>
      <c r="C969" s="123"/>
      <c r="D969" s="12"/>
      <c r="E969" s="55"/>
      <c r="F969" s="55"/>
      <c r="G969" s="55"/>
      <c r="H969" s="12"/>
      <c r="I969" s="12"/>
      <c r="J969" s="12"/>
      <c r="K969" s="12"/>
      <c r="L969" s="12"/>
      <c r="M969" s="12"/>
      <c r="N969" s="12"/>
      <c r="O969" s="12"/>
      <c r="P969" s="12"/>
      <c r="Q969" s="12"/>
      <c r="R969" s="11"/>
      <c r="S969" s="11"/>
      <c r="T969" s="11"/>
      <c r="U969" s="11"/>
      <c r="V969" s="12"/>
      <c r="W969" s="12"/>
      <c r="X969" s="12"/>
      <c r="Y969" s="12"/>
      <c r="Z969" s="12"/>
    </row>
    <row r="970" spans="1:26" x14ac:dyDescent="0.2">
      <c r="A970" s="12"/>
      <c r="B970" s="13"/>
      <c r="C970" s="123"/>
      <c r="D970" s="12"/>
      <c r="E970" s="55"/>
      <c r="F970" s="55"/>
      <c r="G970" s="55"/>
      <c r="H970" s="12"/>
      <c r="I970" s="12"/>
      <c r="J970" s="12"/>
      <c r="K970" s="12"/>
      <c r="L970" s="12"/>
      <c r="M970" s="12"/>
      <c r="N970" s="12"/>
      <c r="O970" s="12"/>
      <c r="P970" s="12"/>
      <c r="Q970" s="12"/>
      <c r="R970" s="11"/>
      <c r="S970" s="11"/>
      <c r="T970" s="11"/>
      <c r="U970" s="11"/>
      <c r="V970" s="12"/>
      <c r="W970" s="12"/>
      <c r="X970" s="12"/>
      <c r="Y970" s="12"/>
      <c r="Z970" s="12"/>
    </row>
    <row r="971" spans="1:26" x14ac:dyDescent="0.2">
      <c r="A971" s="12"/>
      <c r="B971" s="13"/>
      <c r="C971" s="123"/>
      <c r="D971" s="12"/>
      <c r="E971" s="55"/>
      <c r="F971" s="55"/>
      <c r="G971" s="55"/>
      <c r="H971" s="12"/>
      <c r="I971" s="12"/>
      <c r="J971" s="12"/>
      <c r="K971" s="12"/>
      <c r="L971" s="12"/>
      <c r="M971" s="12"/>
      <c r="N971" s="12"/>
      <c r="O971" s="12"/>
      <c r="P971" s="12"/>
      <c r="Q971" s="12"/>
      <c r="R971" s="11"/>
      <c r="S971" s="11"/>
      <c r="T971" s="11"/>
      <c r="U971" s="11"/>
      <c r="V971" s="12"/>
      <c r="W971" s="12"/>
      <c r="X971" s="12"/>
      <c r="Y971" s="12"/>
      <c r="Z971" s="12"/>
    </row>
    <row r="972" spans="1:26" x14ac:dyDescent="0.2">
      <c r="A972" s="12"/>
      <c r="B972" s="13"/>
      <c r="C972" s="123"/>
      <c r="D972" s="12"/>
      <c r="E972" s="55"/>
      <c r="F972" s="55"/>
      <c r="G972" s="55"/>
      <c r="H972" s="12"/>
      <c r="I972" s="12"/>
      <c r="J972" s="12"/>
      <c r="K972" s="12"/>
      <c r="L972" s="12"/>
      <c r="M972" s="12"/>
      <c r="N972" s="12"/>
      <c r="O972" s="12"/>
      <c r="P972" s="12"/>
      <c r="Q972" s="12"/>
      <c r="R972" s="11"/>
      <c r="S972" s="11"/>
      <c r="T972" s="11"/>
      <c r="U972" s="11"/>
      <c r="V972" s="12"/>
      <c r="W972" s="12"/>
      <c r="X972" s="12"/>
      <c r="Y972" s="12"/>
      <c r="Z972" s="12"/>
    </row>
    <row r="973" spans="1:26" x14ac:dyDescent="0.2">
      <c r="A973" s="12"/>
      <c r="B973" s="13"/>
      <c r="C973" s="123"/>
      <c r="D973" s="12"/>
      <c r="E973" s="55"/>
      <c r="F973" s="55"/>
      <c r="G973" s="55"/>
      <c r="H973" s="12"/>
      <c r="I973" s="12"/>
      <c r="J973" s="12"/>
      <c r="K973" s="12"/>
      <c r="L973" s="12"/>
      <c r="M973" s="12"/>
      <c r="N973" s="12"/>
      <c r="O973" s="12"/>
      <c r="P973" s="12"/>
      <c r="Q973" s="12"/>
      <c r="R973" s="11"/>
      <c r="S973" s="11"/>
      <c r="T973" s="11"/>
      <c r="U973" s="11"/>
      <c r="V973" s="12"/>
      <c r="W973" s="12"/>
      <c r="X973" s="12"/>
      <c r="Y973" s="12"/>
      <c r="Z973" s="12"/>
    </row>
    <row r="974" spans="1:26" x14ac:dyDescent="0.2">
      <c r="A974" s="12"/>
      <c r="B974" s="13"/>
      <c r="C974" s="123"/>
      <c r="D974" s="12"/>
      <c r="E974" s="55"/>
      <c r="F974" s="55"/>
      <c r="G974" s="55"/>
      <c r="H974" s="12"/>
      <c r="I974" s="12"/>
      <c r="J974" s="12"/>
      <c r="K974" s="12"/>
      <c r="L974" s="12"/>
      <c r="M974" s="12"/>
      <c r="N974" s="12"/>
      <c r="O974" s="12"/>
      <c r="P974" s="12"/>
      <c r="Q974" s="12"/>
      <c r="R974" s="11"/>
      <c r="S974" s="11"/>
      <c r="T974" s="11"/>
      <c r="U974" s="11"/>
      <c r="V974" s="12"/>
      <c r="W974" s="12"/>
      <c r="X974" s="12"/>
      <c r="Y974" s="12"/>
      <c r="Z974" s="12"/>
    </row>
    <row r="975" spans="1:26" x14ac:dyDescent="0.2">
      <c r="A975" s="12"/>
      <c r="B975" s="13"/>
      <c r="C975" s="123"/>
      <c r="D975" s="12"/>
      <c r="E975" s="55"/>
      <c r="F975" s="55"/>
      <c r="G975" s="55"/>
      <c r="H975" s="12"/>
      <c r="I975" s="12"/>
      <c r="J975" s="12"/>
      <c r="K975" s="12"/>
      <c r="L975" s="12"/>
      <c r="M975" s="12"/>
      <c r="N975" s="12"/>
      <c r="O975" s="12"/>
      <c r="P975" s="12"/>
      <c r="Q975" s="12"/>
      <c r="R975" s="11"/>
      <c r="S975" s="11"/>
      <c r="T975" s="11"/>
      <c r="U975" s="11"/>
      <c r="V975" s="12"/>
      <c r="W975" s="12"/>
      <c r="X975" s="12"/>
      <c r="Y975" s="12"/>
      <c r="Z975" s="12"/>
    </row>
    <row r="976" spans="1:26" x14ac:dyDescent="0.2">
      <c r="A976" s="12"/>
      <c r="B976" s="13"/>
      <c r="C976" s="123"/>
      <c r="D976" s="12"/>
      <c r="E976" s="55"/>
      <c r="F976" s="55"/>
      <c r="G976" s="55"/>
      <c r="H976" s="12"/>
      <c r="I976" s="12"/>
      <c r="J976" s="12"/>
      <c r="K976" s="12"/>
      <c r="L976" s="12"/>
      <c r="M976" s="12"/>
      <c r="N976" s="12"/>
      <c r="O976" s="12"/>
      <c r="P976" s="12"/>
      <c r="Q976" s="12"/>
      <c r="R976" s="11"/>
      <c r="S976" s="11"/>
      <c r="T976" s="11"/>
      <c r="U976" s="11"/>
      <c r="V976" s="12"/>
      <c r="W976" s="12"/>
      <c r="X976" s="12"/>
      <c r="Y976" s="12"/>
      <c r="Z976" s="12"/>
    </row>
    <row r="977" spans="1:26" x14ac:dyDescent="0.2">
      <c r="A977" s="12"/>
      <c r="B977" s="13"/>
      <c r="C977" s="123"/>
      <c r="D977" s="12"/>
      <c r="E977" s="55"/>
      <c r="F977" s="55"/>
      <c r="G977" s="55"/>
      <c r="H977" s="12"/>
      <c r="I977" s="12"/>
      <c r="J977" s="12"/>
      <c r="K977" s="12"/>
      <c r="L977" s="12"/>
      <c r="M977" s="12"/>
      <c r="N977" s="12"/>
      <c r="O977" s="12"/>
      <c r="P977" s="12"/>
      <c r="Q977" s="12"/>
      <c r="R977" s="11"/>
      <c r="S977" s="11"/>
      <c r="T977" s="11"/>
      <c r="U977" s="11"/>
      <c r="V977" s="12"/>
      <c r="W977" s="12"/>
      <c r="X977" s="12"/>
      <c r="Y977" s="12"/>
      <c r="Z977" s="12"/>
    </row>
    <row r="978" spans="1:26" x14ac:dyDescent="0.2">
      <c r="A978" s="12"/>
      <c r="B978" s="13"/>
      <c r="C978" s="123"/>
      <c r="D978" s="12"/>
      <c r="E978" s="55"/>
      <c r="F978" s="55"/>
      <c r="G978" s="55"/>
      <c r="H978" s="12"/>
      <c r="I978" s="12"/>
      <c r="J978" s="12"/>
      <c r="K978" s="12"/>
      <c r="L978" s="12"/>
      <c r="M978" s="12"/>
      <c r="N978" s="12"/>
      <c r="O978" s="12"/>
      <c r="P978" s="12"/>
      <c r="Q978" s="12"/>
      <c r="R978" s="11"/>
      <c r="S978" s="11"/>
      <c r="T978" s="11"/>
      <c r="U978" s="11"/>
      <c r="V978" s="12"/>
      <c r="W978" s="12"/>
      <c r="X978" s="12"/>
      <c r="Y978" s="12"/>
      <c r="Z978" s="12"/>
    </row>
    <row r="979" spans="1:26" x14ac:dyDescent="0.2">
      <c r="A979" s="12"/>
      <c r="B979" s="13"/>
      <c r="C979" s="123"/>
      <c r="D979" s="12"/>
      <c r="E979" s="55"/>
      <c r="F979" s="55"/>
      <c r="G979" s="55"/>
      <c r="H979" s="12"/>
      <c r="I979" s="12"/>
      <c r="J979" s="12"/>
      <c r="K979" s="12"/>
      <c r="L979" s="12"/>
      <c r="M979" s="12"/>
      <c r="N979" s="12"/>
      <c r="O979" s="12"/>
      <c r="P979" s="12"/>
      <c r="Q979" s="12"/>
      <c r="R979" s="11"/>
      <c r="S979" s="11"/>
      <c r="T979" s="11"/>
      <c r="U979" s="11"/>
      <c r="V979" s="12"/>
      <c r="W979" s="12"/>
      <c r="X979" s="12"/>
      <c r="Y979" s="12"/>
      <c r="Z979" s="12"/>
    </row>
    <row r="980" spans="1:26" x14ac:dyDescent="0.2">
      <c r="A980" s="12"/>
      <c r="B980" s="13"/>
      <c r="C980" s="123"/>
      <c r="D980" s="12"/>
      <c r="E980" s="55"/>
      <c r="F980" s="55"/>
      <c r="G980" s="55"/>
      <c r="H980" s="12"/>
      <c r="I980" s="12"/>
      <c r="J980" s="12"/>
      <c r="K980" s="12"/>
      <c r="L980" s="12"/>
      <c r="M980" s="12"/>
      <c r="N980" s="12"/>
      <c r="O980" s="12"/>
      <c r="P980" s="12"/>
      <c r="Q980" s="12"/>
      <c r="R980" s="11"/>
      <c r="S980" s="11"/>
      <c r="T980" s="11"/>
      <c r="U980" s="11"/>
      <c r="V980" s="12"/>
      <c r="W980" s="12"/>
      <c r="X980" s="12"/>
      <c r="Y980" s="12"/>
      <c r="Z980" s="12"/>
    </row>
    <row r="981" spans="1:26" x14ac:dyDescent="0.2">
      <c r="A981" s="12"/>
      <c r="B981" s="13"/>
      <c r="C981" s="123"/>
      <c r="D981" s="12"/>
      <c r="E981" s="55"/>
      <c r="F981" s="55"/>
      <c r="G981" s="55"/>
      <c r="H981" s="12"/>
      <c r="I981" s="12"/>
      <c r="J981" s="12"/>
      <c r="K981" s="12"/>
      <c r="L981" s="12"/>
      <c r="M981" s="12"/>
      <c r="N981" s="12"/>
      <c r="O981" s="12"/>
      <c r="P981" s="12"/>
      <c r="Q981" s="12"/>
      <c r="R981" s="11"/>
      <c r="S981" s="11"/>
      <c r="T981" s="11"/>
      <c r="U981" s="11"/>
      <c r="V981" s="12"/>
      <c r="W981" s="12"/>
      <c r="X981" s="12"/>
      <c r="Y981" s="12"/>
      <c r="Z981" s="12"/>
    </row>
    <row r="982" spans="1:26" x14ac:dyDescent="0.2">
      <c r="A982" s="12"/>
      <c r="B982" s="13"/>
      <c r="C982" s="123"/>
      <c r="D982" s="12"/>
      <c r="E982" s="55"/>
      <c r="F982" s="55"/>
      <c r="G982" s="55"/>
      <c r="H982" s="12"/>
      <c r="I982" s="12"/>
      <c r="J982" s="12"/>
      <c r="K982" s="12"/>
      <c r="L982" s="12"/>
      <c r="M982" s="12"/>
      <c r="N982" s="12"/>
      <c r="O982" s="12"/>
      <c r="P982" s="12"/>
      <c r="Q982" s="12"/>
      <c r="R982" s="11"/>
      <c r="S982" s="11"/>
      <c r="T982" s="11"/>
      <c r="U982" s="11"/>
      <c r="V982" s="12"/>
      <c r="W982" s="12"/>
      <c r="X982" s="12"/>
      <c r="Y982" s="12"/>
      <c r="Z982" s="12"/>
    </row>
    <row r="983" spans="1:26" x14ac:dyDescent="0.2">
      <c r="A983" s="12"/>
      <c r="B983" s="13"/>
      <c r="C983" s="123"/>
      <c r="D983" s="12"/>
      <c r="E983" s="55"/>
      <c r="F983" s="55"/>
      <c r="G983" s="55"/>
      <c r="H983" s="12"/>
      <c r="I983" s="12"/>
      <c r="J983" s="12"/>
      <c r="K983" s="12"/>
      <c r="L983" s="12"/>
      <c r="M983" s="12"/>
      <c r="N983" s="12"/>
      <c r="O983" s="12"/>
      <c r="P983" s="12"/>
      <c r="Q983" s="12"/>
      <c r="R983" s="11"/>
      <c r="S983" s="11"/>
      <c r="T983" s="11"/>
      <c r="U983" s="11"/>
      <c r="V983" s="12"/>
      <c r="W983" s="12"/>
      <c r="X983" s="12"/>
      <c r="Y983" s="12"/>
      <c r="Z983" s="12"/>
    </row>
    <row r="984" spans="1:26" x14ac:dyDescent="0.2">
      <c r="A984" s="12"/>
      <c r="B984" s="13"/>
      <c r="C984" s="123"/>
      <c r="D984" s="12"/>
      <c r="E984" s="55"/>
      <c r="F984" s="55"/>
      <c r="G984" s="55"/>
      <c r="H984" s="12"/>
      <c r="I984" s="12"/>
      <c r="J984" s="12"/>
      <c r="K984" s="12"/>
      <c r="L984" s="12"/>
      <c r="M984" s="12"/>
      <c r="N984" s="12"/>
      <c r="O984" s="12"/>
      <c r="P984" s="12"/>
      <c r="Q984" s="12"/>
      <c r="R984" s="11"/>
      <c r="S984" s="11"/>
      <c r="T984" s="11"/>
      <c r="U984" s="11"/>
      <c r="V984" s="12"/>
      <c r="W984" s="12"/>
      <c r="X984" s="12"/>
      <c r="Y984" s="12"/>
      <c r="Z984" s="12"/>
    </row>
    <row r="985" spans="1:26" x14ac:dyDescent="0.2">
      <c r="A985" s="12"/>
      <c r="B985" s="13"/>
      <c r="C985" s="123"/>
      <c r="D985" s="12"/>
      <c r="E985" s="55"/>
      <c r="F985" s="55"/>
      <c r="G985" s="55"/>
      <c r="H985" s="12"/>
      <c r="I985" s="12"/>
      <c r="J985" s="12"/>
      <c r="K985" s="12"/>
      <c r="L985" s="12"/>
      <c r="M985" s="12"/>
      <c r="N985" s="12"/>
      <c r="O985" s="12"/>
      <c r="P985" s="12"/>
      <c r="Q985" s="12"/>
      <c r="R985" s="11"/>
      <c r="S985" s="11"/>
      <c r="T985" s="11"/>
      <c r="U985" s="11"/>
      <c r="V985" s="12"/>
      <c r="W985" s="12"/>
      <c r="X985" s="12"/>
      <c r="Y985" s="12"/>
      <c r="Z985" s="12"/>
    </row>
    <row r="986" spans="1:26" x14ac:dyDescent="0.2">
      <c r="A986" s="12"/>
      <c r="B986" s="13"/>
      <c r="C986" s="123"/>
      <c r="D986" s="12"/>
      <c r="E986" s="55"/>
      <c r="F986" s="55"/>
      <c r="G986" s="55"/>
      <c r="H986" s="12"/>
      <c r="I986" s="12"/>
      <c r="J986" s="12"/>
      <c r="K986" s="12"/>
      <c r="L986" s="12"/>
      <c r="M986" s="12"/>
      <c r="N986" s="12"/>
      <c r="O986" s="12"/>
      <c r="P986" s="12"/>
      <c r="Q986" s="12"/>
      <c r="R986" s="11"/>
      <c r="S986" s="11"/>
      <c r="T986" s="11"/>
      <c r="U986" s="11"/>
      <c r="V986" s="12"/>
      <c r="W986" s="12"/>
      <c r="X986" s="12"/>
      <c r="Y986" s="12"/>
      <c r="Z986" s="12"/>
    </row>
    <row r="987" spans="1:26" x14ac:dyDescent="0.2">
      <c r="A987" s="12"/>
      <c r="B987" s="13"/>
      <c r="C987" s="123"/>
      <c r="D987" s="12"/>
      <c r="E987" s="55"/>
      <c r="F987" s="55"/>
      <c r="G987" s="55"/>
      <c r="H987" s="12"/>
      <c r="I987" s="12"/>
      <c r="J987" s="12"/>
      <c r="K987" s="12"/>
      <c r="L987" s="12"/>
      <c r="M987" s="12"/>
      <c r="N987" s="12"/>
      <c r="O987" s="12"/>
      <c r="P987" s="12"/>
      <c r="Q987" s="12"/>
      <c r="R987" s="11"/>
      <c r="S987" s="11"/>
      <c r="T987" s="11"/>
      <c r="U987" s="11"/>
      <c r="V987" s="12"/>
      <c r="W987" s="12"/>
      <c r="X987" s="12"/>
      <c r="Y987" s="12"/>
      <c r="Z987" s="12"/>
    </row>
    <row r="988" spans="1:26" x14ac:dyDescent="0.2">
      <c r="A988" s="12"/>
      <c r="B988" s="13"/>
      <c r="C988" s="123"/>
      <c r="D988" s="12"/>
      <c r="E988" s="55"/>
      <c r="F988" s="55"/>
      <c r="G988" s="55"/>
      <c r="H988" s="12"/>
      <c r="I988" s="12"/>
      <c r="J988" s="12"/>
      <c r="K988" s="12"/>
      <c r="L988" s="12"/>
      <c r="M988" s="12"/>
      <c r="N988" s="12"/>
      <c r="O988" s="12"/>
      <c r="P988" s="12"/>
      <c r="Q988" s="12"/>
      <c r="R988" s="11"/>
      <c r="S988" s="11"/>
      <c r="T988" s="11"/>
      <c r="U988" s="11"/>
      <c r="V988" s="12"/>
      <c r="W988" s="12"/>
      <c r="X988" s="12"/>
      <c r="Y988" s="12"/>
      <c r="Z988" s="12"/>
    </row>
    <row r="989" spans="1:26" x14ac:dyDescent="0.2">
      <c r="A989" s="12"/>
      <c r="B989" s="13"/>
      <c r="C989" s="123"/>
      <c r="D989" s="12"/>
      <c r="E989" s="55"/>
      <c r="F989" s="55"/>
      <c r="G989" s="55"/>
      <c r="H989" s="12"/>
      <c r="I989" s="12"/>
      <c r="J989" s="12"/>
      <c r="K989" s="12"/>
      <c r="L989" s="12"/>
      <c r="M989" s="12"/>
      <c r="N989" s="12"/>
      <c r="O989" s="12"/>
      <c r="P989" s="12"/>
      <c r="Q989" s="12"/>
      <c r="R989" s="11"/>
      <c r="S989" s="11"/>
      <c r="T989" s="11"/>
      <c r="U989" s="11"/>
      <c r="V989" s="12"/>
      <c r="W989" s="12"/>
      <c r="X989" s="12"/>
      <c r="Y989" s="12"/>
      <c r="Z989" s="12"/>
    </row>
    <row r="990" spans="1:26" x14ac:dyDescent="0.2">
      <c r="A990" s="12"/>
      <c r="B990" s="13"/>
      <c r="C990" s="123"/>
      <c r="D990" s="12"/>
      <c r="E990" s="55"/>
      <c r="F990" s="55"/>
      <c r="G990" s="55"/>
      <c r="H990" s="12"/>
      <c r="I990" s="12"/>
      <c r="J990" s="12"/>
      <c r="K990" s="12"/>
      <c r="L990" s="12"/>
      <c r="M990" s="12"/>
      <c r="N990" s="12"/>
      <c r="O990" s="12"/>
      <c r="P990" s="12"/>
      <c r="Q990" s="12"/>
      <c r="R990" s="11"/>
      <c r="S990" s="11"/>
      <c r="T990" s="11"/>
      <c r="U990" s="11"/>
      <c r="V990" s="12"/>
      <c r="W990" s="12"/>
      <c r="X990" s="12"/>
      <c r="Y990" s="12"/>
      <c r="Z990" s="12"/>
    </row>
    <row r="991" spans="1:26" x14ac:dyDescent="0.2">
      <c r="A991" s="12"/>
      <c r="B991" s="13"/>
      <c r="C991" s="123"/>
      <c r="D991" s="12"/>
      <c r="E991" s="55"/>
      <c r="F991" s="55"/>
      <c r="G991" s="55"/>
      <c r="H991" s="12"/>
      <c r="I991" s="12"/>
      <c r="J991" s="12"/>
      <c r="K991" s="12"/>
      <c r="L991" s="12"/>
      <c r="M991" s="12"/>
      <c r="N991" s="12"/>
      <c r="O991" s="12"/>
      <c r="P991" s="12"/>
      <c r="Q991" s="12"/>
      <c r="R991" s="11"/>
      <c r="S991" s="11"/>
      <c r="T991" s="11"/>
      <c r="U991" s="11"/>
      <c r="V991" s="12"/>
      <c r="W991" s="12"/>
      <c r="X991" s="12"/>
      <c r="Y991" s="12"/>
      <c r="Z991" s="12"/>
    </row>
    <row r="992" spans="1:26" x14ac:dyDescent="0.2">
      <c r="A992" s="12"/>
      <c r="B992" s="13"/>
      <c r="C992" s="123"/>
      <c r="D992" s="12"/>
      <c r="E992" s="55"/>
      <c r="F992" s="55"/>
      <c r="G992" s="55"/>
      <c r="H992" s="12"/>
      <c r="I992" s="12"/>
      <c r="J992" s="12"/>
      <c r="K992" s="12"/>
      <c r="L992" s="12"/>
      <c r="M992" s="12"/>
      <c r="N992" s="12"/>
      <c r="O992" s="12"/>
      <c r="P992" s="12"/>
      <c r="Q992" s="12"/>
      <c r="R992" s="11"/>
      <c r="S992" s="11"/>
      <c r="T992" s="11"/>
      <c r="U992" s="11"/>
      <c r="V992" s="12"/>
      <c r="W992" s="12"/>
      <c r="X992" s="12"/>
      <c r="Y992" s="12"/>
      <c r="Z992" s="12"/>
    </row>
    <row r="993" spans="1:26" x14ac:dyDescent="0.2">
      <c r="A993" s="12"/>
      <c r="B993" s="13"/>
      <c r="C993" s="123"/>
      <c r="D993" s="12"/>
      <c r="E993" s="55"/>
      <c r="F993" s="55"/>
      <c r="G993" s="55"/>
      <c r="H993" s="12"/>
      <c r="I993" s="12"/>
      <c r="J993" s="12"/>
      <c r="K993" s="12"/>
      <c r="L993" s="12"/>
      <c r="M993" s="12"/>
      <c r="N993" s="12"/>
      <c r="O993" s="12"/>
      <c r="P993" s="12"/>
      <c r="Q993" s="12"/>
      <c r="R993" s="11"/>
      <c r="S993" s="11"/>
      <c r="T993" s="11"/>
      <c r="U993" s="11"/>
      <c r="V993" s="12"/>
      <c r="W993" s="12"/>
      <c r="X993" s="12"/>
      <c r="Y993" s="12"/>
      <c r="Z993" s="12"/>
    </row>
    <row r="994" spans="1:26" x14ac:dyDescent="0.2">
      <c r="A994" s="12"/>
      <c r="B994" s="13"/>
      <c r="C994" s="123"/>
      <c r="D994" s="12"/>
      <c r="E994" s="55"/>
      <c r="F994" s="55"/>
      <c r="G994" s="55"/>
      <c r="H994" s="12"/>
      <c r="I994" s="12"/>
      <c r="J994" s="12"/>
      <c r="K994" s="12"/>
      <c r="L994" s="12"/>
      <c r="M994" s="12"/>
      <c r="N994" s="12"/>
      <c r="O994" s="12"/>
      <c r="P994" s="12"/>
      <c r="Q994" s="12"/>
      <c r="R994" s="11"/>
      <c r="S994" s="11"/>
      <c r="T994" s="11"/>
      <c r="U994" s="11"/>
      <c r="V994" s="12"/>
      <c r="W994" s="12"/>
      <c r="X994" s="12"/>
      <c r="Y994" s="12"/>
      <c r="Z994" s="12"/>
    </row>
    <row r="995" spans="1:26" x14ac:dyDescent="0.2">
      <c r="A995" s="12"/>
      <c r="B995" s="13"/>
      <c r="C995" s="123"/>
      <c r="D995" s="12"/>
      <c r="E995" s="55"/>
      <c r="F995" s="55"/>
      <c r="G995" s="55"/>
      <c r="H995" s="12"/>
      <c r="I995" s="12"/>
      <c r="J995" s="12"/>
      <c r="K995" s="12"/>
      <c r="L995" s="12"/>
      <c r="M995" s="12"/>
      <c r="N995" s="12"/>
      <c r="O995" s="12"/>
      <c r="P995" s="12"/>
      <c r="Q995" s="12"/>
      <c r="R995" s="11"/>
      <c r="S995" s="11"/>
      <c r="T995" s="11"/>
      <c r="U995" s="11"/>
      <c r="V995" s="12"/>
      <c r="W995" s="12"/>
      <c r="X995" s="12"/>
      <c r="Y995" s="12"/>
      <c r="Z995" s="12"/>
    </row>
    <row r="996" spans="1:26" x14ac:dyDescent="0.2">
      <c r="A996" s="12"/>
      <c r="B996" s="13"/>
      <c r="C996" s="123"/>
      <c r="D996" s="12"/>
      <c r="E996" s="55"/>
      <c r="F996" s="55"/>
      <c r="G996" s="55"/>
      <c r="H996" s="12"/>
      <c r="I996" s="12"/>
      <c r="J996" s="12"/>
      <c r="K996" s="12"/>
      <c r="L996" s="12"/>
      <c r="M996" s="12"/>
      <c r="N996" s="12"/>
      <c r="O996" s="12"/>
      <c r="P996" s="12"/>
      <c r="Q996" s="12"/>
      <c r="R996" s="11"/>
      <c r="S996" s="11"/>
      <c r="T996" s="11"/>
      <c r="U996" s="11"/>
      <c r="V996" s="12"/>
      <c r="W996" s="12"/>
      <c r="X996" s="12"/>
      <c r="Y996" s="12"/>
      <c r="Z996" s="12"/>
    </row>
    <row r="997" spans="1:26" x14ac:dyDescent="0.2">
      <c r="A997" s="12"/>
      <c r="B997" s="13"/>
      <c r="C997" s="123"/>
      <c r="D997" s="12"/>
      <c r="E997" s="55"/>
      <c r="F997" s="55"/>
      <c r="G997" s="55"/>
      <c r="H997" s="12"/>
      <c r="I997" s="12"/>
      <c r="J997" s="12"/>
      <c r="K997" s="12"/>
      <c r="L997" s="12"/>
      <c r="M997" s="12"/>
      <c r="N997" s="12"/>
      <c r="O997" s="12"/>
      <c r="P997" s="12"/>
      <c r="Q997" s="12"/>
      <c r="R997" s="11"/>
      <c r="S997" s="11"/>
      <c r="T997" s="11"/>
      <c r="U997" s="11"/>
      <c r="V997" s="12"/>
      <c r="W997" s="12"/>
      <c r="X997" s="12"/>
      <c r="Y997" s="12"/>
      <c r="Z997" s="12"/>
    </row>
    <row r="998" spans="1:26" x14ac:dyDescent="0.2">
      <c r="A998" s="12"/>
      <c r="B998" s="13"/>
      <c r="C998" s="123"/>
      <c r="D998" s="12"/>
      <c r="E998" s="55"/>
      <c r="F998" s="55"/>
      <c r="G998" s="55"/>
      <c r="H998" s="12"/>
      <c r="I998" s="12"/>
      <c r="J998" s="12"/>
      <c r="K998" s="12"/>
      <c r="L998" s="12"/>
      <c r="M998" s="12"/>
      <c r="N998" s="12"/>
      <c r="O998" s="12"/>
      <c r="P998" s="12"/>
      <c r="Q998" s="12"/>
      <c r="R998" s="11"/>
      <c r="S998" s="11"/>
      <c r="T998" s="11"/>
      <c r="U998" s="11"/>
      <c r="V998" s="12"/>
      <c r="W998" s="12"/>
      <c r="X998" s="12"/>
      <c r="Y998" s="12"/>
      <c r="Z998" s="12"/>
    </row>
    <row r="999" spans="1:26" x14ac:dyDescent="0.2">
      <c r="A999" s="12"/>
      <c r="B999" s="13"/>
      <c r="C999" s="123"/>
      <c r="D999" s="12"/>
      <c r="E999" s="55"/>
      <c r="F999" s="55"/>
      <c r="G999" s="55"/>
      <c r="H999" s="12"/>
      <c r="I999" s="12"/>
      <c r="J999" s="12"/>
      <c r="K999" s="12"/>
      <c r="L999" s="12"/>
      <c r="M999" s="12"/>
      <c r="N999" s="12"/>
      <c r="O999" s="12"/>
      <c r="P999" s="12"/>
      <c r="Q999" s="12"/>
      <c r="R999" s="11"/>
      <c r="S999" s="11"/>
      <c r="T999" s="11"/>
      <c r="U999" s="11"/>
      <c r="V999" s="12"/>
      <c r="W999" s="12"/>
      <c r="X999" s="12"/>
      <c r="Y999" s="12"/>
      <c r="Z999" s="12"/>
    </row>
  </sheetData>
  <autoFilter ref="A1:U666" xr:uid="{00000000-0009-0000-0000-000001000000}">
    <filterColumn colId="2">
      <filters>
        <filter val="begin group"/>
      </filters>
    </filterColumn>
  </autoFilter>
  <conditionalFormatting sqref="A10 D11:E11 G11:U12 C12:E12 C14:E24 F14:U31 E22:E26 C27:E31 C33:U38 R40:U40 C40:E59 F40:Q69 E45:E69 R45:U69 E71:E81 F71:U84 D82:E84 H86:U86 C86:G96 H87:M91 O87:U91 N89:N91 H92:U96 D98:U103 C105:U108 F110:K110 M110:U110 D110:E114 F111:U115 C115:E115 H117:U117 C117:G130 H118:K128 M118:U128 L124 H129:O130 R129:U130 D132:K132 M132:U132 C133:U137 C139:G151 I139:U151 D153:K153 M153:U153 D154:U158 C160:E160 O160:Q171 E160:G180 I160:N180 R160:U180 Q172:Q177 O178:Q180 D182:E182 G182:K182 M182:U182 F182:F187 I183:U183 E183:E187 G183:G187 D184:D187 H184:U187 L189:N189 J189:K190 E189:G192 I189:I192 K189:K192 O189:U192 N190:N191 C190:E192 H190:H192 L190:M192 J192 L192:N192 D194:K194 M194:U194 D195:U198 I200:U201 E200:E202 F200:G238 C202:D202 H202:U202 I203:U236 C203:E237 H219:H236 H237:U238 E237:E239 G238:G241 C239:U242 C244:G296 R244:U296 I245:K249 H245:H280 L245:Q280 J249:K280 I250:I280 H282:Q282 O284:O287 P284:Q288 H284:N295 N288:O288 O289:Q295 C298:E298 E298:E300 F298:U312 C301:E312 D314:F314 H314:K314 M314:U314 G314:G320 G322 H324:K328 M324:U328 J329:K402 M329:N402 H329:I468 O329:U468 J403:N404 J405:K422 M405:N445 L405:L468 J424:K468 L446:N468 H469:U469 L497:L528 M498:N528 C530:U530 C532:U534 C536:K536 M536:U536 H545:U545 C545:G601 H546:K549 M546:N549 O546:Q575 R546:U601 L548:L549 I550:N596 H550:H601 O576:O579 O580:Q601 L597:L599 M598:M599 I598:I601 J599:N601 C602:U607 C609:U609 C611:U612 C614:U614 O616:O618 C616:N623 R616:U623 O619:Q623 C625:U625 C626:K626 M626:U626 C627:U628 C634:U646 C648:U652 D654:E655 F654:U656 C656:E656 C659:U665 R667 C689:U689 H150:H151 H470:L477">
    <cfRule type="expression" dxfId="1869" priority="7" stopIfTrue="1">
      <formula>OR(AND(LEFT($C10, 16)="select_multiple ", LEN($C10)&gt;16, NOT(ISNUMBER(SEARCH(" ", $C10, 17)))), AND(LEFT($C10, 11)="select_one ", LEN($C10)&gt;11, NOT(ISNUMBER(SEARCH(" ", $C10, 12)))))</formula>
    </cfRule>
  </conditionalFormatting>
  <conditionalFormatting sqref="A10 L117 L654:L655">
    <cfRule type="expression" dxfId="1868" priority="8" stopIfTrue="1">
      <formula>$C10="decimal"</formula>
    </cfRule>
    <cfRule type="expression" dxfId="1867" priority="9" stopIfTrue="1">
      <formula>$C10="integer"</formula>
    </cfRule>
    <cfRule type="expression" dxfId="1866" priority="10" stopIfTrue="1">
      <formula>$C10="text"</formula>
    </cfRule>
    <cfRule type="expression" dxfId="1865" priority="11" stopIfTrue="1">
      <formula>$C10="end repeat"</formula>
    </cfRule>
    <cfRule type="expression" dxfId="1864" priority="12" stopIfTrue="1">
      <formula>$C10="begin repeat"</formula>
    </cfRule>
    <cfRule type="expression" dxfId="1863" priority="13" stopIfTrue="1">
      <formula>$C10="end group"</formula>
    </cfRule>
    <cfRule type="expression" dxfId="1862" priority="14" stopIfTrue="1">
      <formula>$C10="begin group"</formula>
    </cfRule>
  </conditionalFormatting>
  <conditionalFormatting sqref="A10">
    <cfRule type="expression" dxfId="1861" priority="15" stopIfTrue="1">
      <formula>$C10="comments"</formula>
    </cfRule>
    <cfRule type="expression" dxfId="1860" priority="16" stopIfTrue="1">
      <formula>$C10="image"</formula>
    </cfRule>
    <cfRule type="expression" dxfId="1859" priority="17" stopIfTrue="1">
      <formula>OR($C10="date", $C10="datetime")</formula>
    </cfRule>
    <cfRule type="expression" dxfId="1858" priority="18" stopIfTrue="1">
      <formula>OR($C10="calculate", $C10="calculate_here")</formula>
    </cfRule>
    <cfRule type="expression" dxfId="1857" priority="19" stopIfTrue="1">
      <formula>$C10="note"</formula>
    </cfRule>
    <cfRule type="expression" dxfId="1856" priority="20" stopIfTrue="1">
      <formula>$C10="barcode"</formula>
    </cfRule>
    <cfRule type="expression" dxfId="1855" priority="21" stopIfTrue="1">
      <formula>OR($C10="geopoint", $C10="geoshape", $C10="geotrace")</formula>
    </cfRule>
    <cfRule type="expression" dxfId="1854" priority="22" stopIfTrue="1">
      <formula>OR($C10="audio audit", $C10="text audit", $C10="speed violations count", $C10="speed violations list", $C10="speed violations audit")</formula>
    </cfRule>
    <cfRule type="expression" dxfId="1853" priority="23" stopIfTrue="1">
      <formula>OR($C10="username", $C10="phonenumber", $C10="start", $C10="end", $C10="deviceid", $C10="subscriberid", $C10="simserial", $C10="caseid")</formula>
    </cfRule>
  </conditionalFormatting>
  <conditionalFormatting sqref="C11 C631">
    <cfRule type="expression" dxfId="1852" priority="24" stopIfTrue="1">
      <formula>$A11="comments"</formula>
    </cfRule>
    <cfRule type="expression" dxfId="1851" priority="25" stopIfTrue="1">
      <formula>OR($A11="audio", $A11="video")</formula>
    </cfRule>
    <cfRule type="expression" dxfId="1850" priority="26" stopIfTrue="1">
      <formula>$A11="image"</formula>
    </cfRule>
    <cfRule type="expression" dxfId="1849" priority="27" stopIfTrue="1">
      <formula>OR($A11="date", $A11="datetime")</formula>
    </cfRule>
    <cfRule type="expression" dxfId="1848" priority="28" stopIfTrue="1">
      <formula>OR($A11="calculate", $A11="calculate_here")</formula>
    </cfRule>
    <cfRule type="expression" dxfId="1847" priority="29" stopIfTrue="1">
      <formula>$A11="note"</formula>
    </cfRule>
    <cfRule type="expression" dxfId="1846" priority="30" stopIfTrue="1">
      <formula>$A11="barcode"</formula>
    </cfRule>
    <cfRule type="expression" dxfId="1845" priority="31" stopIfTrue="1">
      <formula>OR($A11="geopoint", $A11="geoshape", $A11="geotrace")</formula>
    </cfRule>
    <cfRule type="expression" dxfId="1844" priority="32" stopIfTrue="1">
      <formula>OR($A11="audio audit", $A11="text audit", $A11="speed violations count", $A11="speed violations list", $A11="speed violations audit")</formula>
    </cfRule>
    <cfRule type="expression" dxfId="1843" priority="33" stopIfTrue="1">
      <formula>OR($A11="username", $A11="phonenumber", $A11="start", $A11="end", $A11="deviceid", $A11="subscriberid", $A11="simserial", $A11="caseid")</formula>
    </cfRule>
    <cfRule type="expression" dxfId="1842" priority="34" stopIfTrue="1">
      <formula>OR(AND(LEFT($A11, 16)="select_multiple ", LEN($A11)&gt;16, NOT(ISNUMBER(SEARCH(" ", $A11, 17)))), AND(LEFT($A11, 11)="select_one ", LEN($A11)&gt;11, NOT(ISNUMBER(SEARCH(" ", $A11, 12)))))</formula>
    </cfRule>
    <cfRule type="expression" dxfId="1841" priority="35" stopIfTrue="1">
      <formula>$A11="decimal"</formula>
    </cfRule>
    <cfRule type="expression" dxfId="1840" priority="36" stopIfTrue="1">
      <formula>$A11="integer"</formula>
    </cfRule>
    <cfRule type="expression" dxfId="1839" priority="37" stopIfTrue="1">
      <formula>$A11="text"</formula>
    </cfRule>
    <cfRule type="expression" dxfId="1838" priority="38" stopIfTrue="1">
      <formula>$A11="end repeat"</formula>
    </cfRule>
    <cfRule type="expression" dxfId="1837" priority="39" stopIfTrue="1">
      <formula>$A11="begin repeat"</formula>
    </cfRule>
    <cfRule type="expression" dxfId="1836" priority="40" stopIfTrue="1">
      <formula>$A11="end group"</formula>
    </cfRule>
    <cfRule type="expression" dxfId="1835" priority="41" stopIfTrue="1">
      <formula>$A11="begin group"</formula>
    </cfRule>
  </conditionalFormatting>
  <conditionalFormatting sqref="C98:C103 C184:C187">
    <cfRule type="expression" dxfId="1834" priority="43" stopIfTrue="1">
      <formula>OR($C98="date", $C98="datetime")</formula>
    </cfRule>
    <cfRule type="expression" dxfId="1833" priority="44" stopIfTrue="1">
      <formula>OR($C98="calculate", $C98="calculate_here")</formula>
    </cfRule>
    <cfRule type="expression" dxfId="1832" priority="45" stopIfTrue="1">
      <formula>OR($C98="geopoint", $C98="geoshape", $C98="geotrace")</formula>
    </cfRule>
    <cfRule type="expression" dxfId="1831" priority="46" stopIfTrue="1">
      <formula>OR($C98="username", $C98="phonenumber", $C98="start", $C98="end", $C98="deviceid", $C98="subscriberid", $C98="simserial", $C98="caseid")</formula>
    </cfRule>
    <cfRule type="expression" dxfId="1830" priority="47" stopIfTrue="1">
      <formula>OR(AND(LEFT($C98, 16)="select_multiple ", LEN($C98)&gt;16, NOT(ISNUMBER(SEARCH(" ", $C98, 17)))), AND(LEFT($C98, 11)="select_one ", LEN($C98)&gt;11, NOT(ISNUMBER(SEARCH(" ", $C98, 12)))))</formula>
    </cfRule>
    <cfRule type="expression" dxfId="1829" priority="48" stopIfTrue="1">
      <formula>$C98="decimal"</formula>
    </cfRule>
    <cfRule type="expression" dxfId="1828" priority="49" stopIfTrue="1">
      <formula>$C98="integer"</formula>
    </cfRule>
    <cfRule type="expression" dxfId="1827" priority="50" stopIfTrue="1">
      <formula>$C98="text"</formula>
    </cfRule>
    <cfRule type="expression" dxfId="1826" priority="51" stopIfTrue="1">
      <formula>$C98="end repeat"</formula>
    </cfRule>
    <cfRule type="expression" dxfId="1825" priority="52" stopIfTrue="1">
      <formula>$C98="begin repeat"</formula>
    </cfRule>
    <cfRule type="expression" dxfId="1824" priority="53" stopIfTrue="1">
      <formula>$C98="end group"</formula>
    </cfRule>
    <cfRule type="expression" dxfId="1823" priority="54" stopIfTrue="1">
      <formula>$C98="begin group"</formula>
    </cfRule>
  </conditionalFormatting>
  <conditionalFormatting sqref="C98:C103 C184:D187 C244:G296 G470:U476 C477:U477 L478:N497 G478:K500 C1:E10 G1:G10 I1:Q10 F1:F12 H2:H10 R2:U10 C324:G476 C478:G528 O478:U528">
    <cfRule type="expression" dxfId="1822" priority="55" stopIfTrue="1">
      <formula>OR($C1="audio audit", $C1="text audit", $C1="speed violations count", $C1="speed violations list", $C1="speed violations audit")</formula>
    </cfRule>
  </conditionalFormatting>
  <conditionalFormatting sqref="C110:C114">
    <cfRule type="expression" dxfId="1821" priority="56" stopIfTrue="1">
      <formula>$C110="comments"</formula>
    </cfRule>
    <cfRule type="expression" dxfId="1820" priority="57" stopIfTrue="1">
      <formula>OR($C110="audio", $C110="video")</formula>
    </cfRule>
    <cfRule type="expression" dxfId="1819" priority="58" stopIfTrue="1">
      <formula>OR($C110="date", $C110="datetime")</formula>
    </cfRule>
    <cfRule type="expression" dxfId="1818" priority="59" stopIfTrue="1">
      <formula>OR($C110="calculate", $C110="calculate_here")</formula>
    </cfRule>
    <cfRule type="expression" dxfId="1817" priority="60" stopIfTrue="1">
      <formula>$C110="note"</formula>
    </cfRule>
    <cfRule type="expression" dxfId="1816" priority="61" stopIfTrue="1">
      <formula>$C110="barcode"</formula>
    </cfRule>
    <cfRule type="expression" dxfId="1815" priority="62" stopIfTrue="1">
      <formula>OR($C110="geopoint", $C110="geoshape", $C110="geotrace")</formula>
    </cfRule>
    <cfRule type="expression" dxfId="1814" priority="63" stopIfTrue="1">
      <formula>OR($C110="username", $C110="phonenumber", $C110="start", $C110="end", $C110="deviceid", $C110="subscriberid", $C110="simserial", $C110="caseid")</formula>
    </cfRule>
    <cfRule type="expression" dxfId="1813" priority="64" stopIfTrue="1">
      <formula>OR(AND(LEFT($C110, 16)="select_multiple ", LEN($C110)&gt;16, NOT(ISNUMBER(SEARCH(" ", $C110, 17)))), AND(LEFT($C110, 11)="select_one ", LEN($C110)&gt;11, NOT(ISNUMBER(SEARCH(" ", $C110, 12)))))</formula>
    </cfRule>
    <cfRule type="expression" dxfId="1812" priority="65" stopIfTrue="1">
      <formula>$C110="decimal"</formula>
    </cfRule>
    <cfRule type="expression" dxfId="1811" priority="66" stopIfTrue="1">
      <formula>$C110="integer"</formula>
    </cfRule>
    <cfRule type="expression" dxfId="1810" priority="67" stopIfTrue="1">
      <formula>$C110="text"</formula>
    </cfRule>
    <cfRule type="expression" dxfId="1809" priority="68" stopIfTrue="1">
      <formula>$C110="end repeat"</formula>
    </cfRule>
    <cfRule type="expression" dxfId="1808" priority="69" stopIfTrue="1">
      <formula>$C110="begin repeat"</formula>
    </cfRule>
    <cfRule type="expression" dxfId="1807" priority="70" stopIfTrue="1">
      <formula>$C110="end group"</formula>
    </cfRule>
    <cfRule type="expression" dxfId="1806" priority="71" stopIfTrue="1">
      <formula>$C110="begin group"</formula>
    </cfRule>
  </conditionalFormatting>
  <conditionalFormatting sqref="C132">
    <cfRule type="expression" dxfId="1805" priority="72" stopIfTrue="1">
      <formula>$C132="comments"</formula>
    </cfRule>
    <cfRule type="expression" dxfId="1804" priority="73" stopIfTrue="1">
      <formula>OR($C132="audio", $C132="video")</formula>
    </cfRule>
    <cfRule type="expression" dxfId="1803" priority="74" stopIfTrue="1">
      <formula>OR($C132="date", $C132="datetime")</formula>
    </cfRule>
    <cfRule type="expression" dxfId="1802" priority="75" stopIfTrue="1">
      <formula>OR($C132="calculate", $C132="calculate_here")</formula>
    </cfRule>
    <cfRule type="expression" dxfId="1801" priority="76" stopIfTrue="1">
      <formula>$C132="note"</formula>
    </cfRule>
    <cfRule type="expression" dxfId="1800" priority="77" stopIfTrue="1">
      <formula>$C132="barcode"</formula>
    </cfRule>
    <cfRule type="expression" dxfId="1799" priority="78" stopIfTrue="1">
      <formula>OR($C132="geopoint", $C132="geoshape", $C132="geotrace")</formula>
    </cfRule>
    <cfRule type="expression" dxfId="1798" priority="79" stopIfTrue="1">
      <formula>OR($C132="username", $C132="phonenumber", $C132="start", $C132="end", $C132="deviceid", $C132="subscriberid", $C132="simserial", $C132="caseid")</formula>
    </cfRule>
    <cfRule type="expression" dxfId="1797" priority="80" stopIfTrue="1">
      <formula>OR(AND(LEFT($C132, 16)="select_multiple ", LEN($C132)&gt;16, NOT(ISNUMBER(SEARCH(" ", $C132, 17)))), AND(LEFT($C132, 11)="select_one ", LEN($C132)&gt;11, NOT(ISNUMBER(SEARCH(" ", $C132, 12)))))</formula>
    </cfRule>
    <cfRule type="expression" dxfId="1796" priority="81" stopIfTrue="1">
      <formula>$C132="decimal"</formula>
    </cfRule>
    <cfRule type="expression" dxfId="1795" priority="82" stopIfTrue="1">
      <formula>$C132="integer"</formula>
    </cfRule>
    <cfRule type="expression" dxfId="1794" priority="83" stopIfTrue="1">
      <formula>$C132="text"</formula>
    </cfRule>
    <cfRule type="expression" dxfId="1793" priority="84" stopIfTrue="1">
      <formula>$C132="end repeat"</formula>
    </cfRule>
    <cfRule type="expression" dxfId="1792" priority="85" stopIfTrue="1">
      <formula>$C132="begin repeat"</formula>
    </cfRule>
    <cfRule type="expression" dxfId="1791" priority="86" stopIfTrue="1">
      <formula>$C132="end group"</formula>
    </cfRule>
    <cfRule type="expression" dxfId="1790" priority="87" stopIfTrue="1">
      <formula>$C132="begin group"</formula>
    </cfRule>
  </conditionalFormatting>
  <conditionalFormatting sqref="C153:C158 H494:K519 N494:N519 O494:Q520 L500:N500 N584:Q585 N591:Q592 C2:E10 G2:H10 F2:F12 O203:Q208 J530:Q530 E534:G534 C244:G296 L494:M497 C324:G528 O586:Q590 I1:Q10 R2:U10 R494:U528 O521:O523 O524:Q528">
    <cfRule type="expression" dxfId="1789" priority="633" stopIfTrue="1">
      <formula>$C1="comments"</formula>
    </cfRule>
  </conditionalFormatting>
  <conditionalFormatting sqref="C153:C158 L271:M278 N618 N620 N622">
    <cfRule type="expression" dxfId="1788" priority="89" stopIfTrue="1">
      <formula>OR($C153="date", $C153="datetime")</formula>
    </cfRule>
    <cfRule type="expression" dxfId="1787" priority="90" stopIfTrue="1">
      <formula>OR($C153="calculate", $C153="calculate_here")</formula>
    </cfRule>
  </conditionalFormatting>
  <conditionalFormatting sqref="C153:C158">
    <cfRule type="expression" dxfId="1786" priority="91" stopIfTrue="1">
      <formula>OR($C153="audio", $C153="video")</formula>
    </cfRule>
    <cfRule type="expression" dxfId="1785" priority="92" stopIfTrue="1">
      <formula>$C153="note"</formula>
    </cfRule>
    <cfRule type="expression" dxfId="1784" priority="94" stopIfTrue="1">
      <formula>OR($C153="geopoint", $C153="geoshape", $C153="geotrace")</formula>
    </cfRule>
    <cfRule type="expression" dxfId="1783" priority="95" stopIfTrue="1">
      <formula>OR($C153="username", $C153="phonenumber", $C153="start", $C153="end", $C153="deviceid", $C153="subscriberid", $C153="simserial", $C153="caseid")</formula>
    </cfRule>
    <cfRule type="expression" dxfId="1782" priority="96" stopIfTrue="1">
      <formula>OR(AND(LEFT($C153, 16)="select_multiple ", LEN($C153)&gt;16, NOT(ISNUMBER(SEARCH(" ", $C153, 17)))), AND(LEFT($C153, 11)="select_one ", LEN($C153)&gt;11, NOT(ISNUMBER(SEARCH(" ", $C153, 12)))))</formula>
    </cfRule>
    <cfRule type="expression" dxfId="1781" priority="97" stopIfTrue="1">
      <formula>$C153="decimal"</formula>
    </cfRule>
    <cfRule type="expression" dxfId="1780" priority="98" stopIfTrue="1">
      <formula>$C153="integer"</formula>
    </cfRule>
    <cfRule type="expression" dxfId="1779" priority="101" stopIfTrue="1">
      <formula>$C153="begin repeat"</formula>
    </cfRule>
    <cfRule type="expression" dxfId="1778" priority="102" stopIfTrue="1">
      <formula>$C153="end group"</formula>
    </cfRule>
    <cfRule type="expression" dxfId="1777" priority="103" stopIfTrue="1">
      <formula>$C153="begin group"</formula>
    </cfRule>
  </conditionalFormatting>
  <conditionalFormatting sqref="C182 C314">
    <cfRule type="expression" dxfId="1776" priority="106" stopIfTrue="1">
      <formula>OR($C182="calculate", $C182="calculate_here")</formula>
    </cfRule>
    <cfRule type="expression" dxfId="1775" priority="107" stopIfTrue="1">
      <formula>$C182="note"</formula>
    </cfRule>
    <cfRule type="expression" dxfId="1774" priority="109" stopIfTrue="1">
      <formula>OR($C182="geopoint", $C182="geoshape", $C182="geotrace")</formula>
    </cfRule>
    <cfRule type="expression" dxfId="1773" priority="110" stopIfTrue="1">
      <formula>OR($C182="username", $C182="phonenumber", $C182="start", $C182="end", $C182="deviceid", $C182="subscriberid", $C182="simserial", $C182="caseid")</formula>
    </cfRule>
    <cfRule type="expression" dxfId="1772" priority="111" stopIfTrue="1">
      <formula>OR(AND(LEFT($C182, 16)="select_multiple ", LEN($C182)&gt;16, NOT(ISNUMBER(SEARCH(" ", $C182, 17)))), AND(LEFT($C182, 11)="select_one ", LEN($C182)&gt;11, NOT(ISNUMBER(SEARCH(" ", $C182, 12)))))</formula>
    </cfRule>
    <cfRule type="expression" dxfId="1771" priority="112" stopIfTrue="1">
      <formula>$C182="decimal"</formula>
    </cfRule>
    <cfRule type="expression" dxfId="1770" priority="113" stopIfTrue="1">
      <formula>$C182="integer"</formula>
    </cfRule>
    <cfRule type="expression" dxfId="1769" priority="116" stopIfTrue="1">
      <formula>$C182="begin repeat"</formula>
    </cfRule>
    <cfRule type="expression" dxfId="1768" priority="117" stopIfTrue="1">
      <formula>$C182="end group"</formula>
    </cfRule>
  </conditionalFormatting>
  <conditionalFormatting sqref="C182 G1:G10 I1:Q10 F1:F12 C2:E10 H2:H10 R2:U10 C324:G476 G470:U476 C477:U477 L478:M497 N478:N498 I478:K499 O478:Q499 G478:H500 C478:G528 R478:U528">
    <cfRule type="expression" dxfId="1767" priority="119" stopIfTrue="1">
      <formula>$C1="image"</formula>
    </cfRule>
  </conditionalFormatting>
  <conditionalFormatting sqref="C194:C198">
    <cfRule type="expression" dxfId="1766" priority="120" stopIfTrue="1">
      <formula>$C194="comments"</formula>
    </cfRule>
    <cfRule type="expression" dxfId="1765" priority="121" stopIfTrue="1">
      <formula>OR($C194="audio", $C194="video")</formula>
    </cfRule>
    <cfRule type="expression" dxfId="1764" priority="122" stopIfTrue="1">
      <formula>OR($C194="date", $C194="datetime")</formula>
    </cfRule>
    <cfRule type="expression" dxfId="1763" priority="123" stopIfTrue="1">
      <formula>OR($C194="calculate", $C194="calculate_here")</formula>
    </cfRule>
    <cfRule type="expression" dxfId="1762" priority="125" stopIfTrue="1">
      <formula>OR($C194="geopoint", $C194="geoshape", $C194="geotrace")</formula>
    </cfRule>
    <cfRule type="expression" dxfId="1761" priority="126" stopIfTrue="1">
      <formula>OR($C194="username", $C194="phonenumber", $C194="start", $C194="end", $C194="deviceid", $C194="subscriberid", $C194="simserial", $C194="caseid")</formula>
    </cfRule>
    <cfRule type="expression" dxfId="1760" priority="127" stopIfTrue="1">
      <formula>OR(AND(LEFT($C194, 16)="select_multiple ", LEN($C194)&gt;16, NOT(ISNUMBER(SEARCH(" ", $C194, 17)))), AND(LEFT($C194, 11)="select_one ", LEN($C194)&gt;11, NOT(ISNUMBER(SEARCH(" ", $C194, 12)))))</formula>
    </cfRule>
    <cfRule type="expression" dxfId="1759" priority="128" stopIfTrue="1">
      <formula>$C194="decimal"</formula>
    </cfRule>
    <cfRule type="expression" dxfId="1758" priority="129" stopIfTrue="1">
      <formula>$C194="integer"</formula>
    </cfRule>
    <cfRule type="expression" dxfId="1757" priority="132" stopIfTrue="1">
      <formula>$C194="begin repeat"</formula>
    </cfRule>
    <cfRule type="expression" dxfId="1756" priority="133" stopIfTrue="1">
      <formula>$C194="end group"</formula>
    </cfRule>
    <cfRule type="expression" dxfId="1755" priority="134" stopIfTrue="1">
      <formula>$C194="begin group"</formula>
    </cfRule>
  </conditionalFormatting>
  <conditionalFormatting sqref="C209:C215">
    <cfRule type="expression" dxfId="1754" priority="135" stopIfTrue="1">
      <formula>$C209="note"</formula>
    </cfRule>
    <cfRule type="expression" dxfId="1753" priority="136" stopIfTrue="1">
      <formula>$C209="barcode"</formula>
    </cfRule>
    <cfRule type="expression" dxfId="1752" priority="137" stopIfTrue="1">
      <formula>OR($C209="geopoint", $C209="geoshape", $C209="geotrace")</formula>
    </cfRule>
    <cfRule type="expression" dxfId="1751" priority="138" stopIfTrue="1">
      <formula>OR($C209="audio audit", $C209="text audit", $C209="speed violations count", $C209="speed violations list", $C209="speed violations audit")</formula>
    </cfRule>
    <cfRule type="expression" dxfId="1750" priority="139" stopIfTrue="1">
      <formula>OR($C209="username", $C209="phonenumber", $C209="start", $C209="end", $C209="deviceid", $C209="subscriberid", $C209="simserial", $C209="caseid")</formula>
    </cfRule>
    <cfRule type="expression" dxfId="1749" priority="140" stopIfTrue="1">
      <formula>OR(AND(LEFT($C209, 16)="select_multiple ", LEN($C209)&gt;16, NOT(ISNUMBER(SEARCH(" ", $C209, 17)))), AND(LEFT($C209, 11)="select_one ", LEN($C209)&gt;11, NOT(ISNUMBER(SEARCH(" ", $C209, 12)))))</formula>
    </cfRule>
    <cfRule type="expression" dxfId="1748" priority="141" stopIfTrue="1">
      <formula>$C209="decimal"</formula>
    </cfRule>
    <cfRule type="expression" dxfId="1747" priority="142" stopIfTrue="1">
      <formula>$C209="integer"</formula>
    </cfRule>
    <cfRule type="expression" dxfId="1746" priority="143" stopIfTrue="1">
      <formula>$C209="text"</formula>
    </cfRule>
    <cfRule type="expression" dxfId="1745" priority="144" stopIfTrue="1">
      <formula>$C209="end repeat"</formula>
    </cfRule>
    <cfRule type="expression" dxfId="1744" priority="145" stopIfTrue="1">
      <formula>$C209="begin repeat"</formula>
    </cfRule>
    <cfRule type="expression" dxfId="1743" priority="146" stopIfTrue="1">
      <formula>$C209="end group"</formula>
    </cfRule>
    <cfRule type="expression" dxfId="1742" priority="147" stopIfTrue="1">
      <formula>$C209="begin group"</formula>
    </cfRule>
    <cfRule type="expression" dxfId="1741" priority="148" stopIfTrue="1">
      <formula>$C209="note"</formula>
    </cfRule>
    <cfRule type="expression" dxfId="1740" priority="149" stopIfTrue="1">
      <formula>OR($C209="geopoint", $C209="geoshape", $C209="geotrace")</formula>
    </cfRule>
    <cfRule type="expression" dxfId="1739" priority="150" stopIfTrue="1">
      <formula>OR($C209="audio audit", $C209="text audit", $C209="speed violations count", $C209="speed violations list", $C209="speed violations audit")</formula>
    </cfRule>
    <cfRule type="expression" dxfId="1738" priority="151" stopIfTrue="1">
      <formula>OR($C209="username", $C209="phonenumber", $C209="start", $C209="end", $C209="deviceid", $C209="subscriberid", $C209="simserial", $C209="caseid")</formula>
    </cfRule>
    <cfRule type="expression" dxfId="1737" priority="152" stopIfTrue="1">
      <formula>OR(AND(LEFT($C209, 16)="select_multiple ", LEN($C209)&gt;16, NOT(ISNUMBER(SEARCH(" ", $C209, 17)))), AND(LEFT($C209, 11)="select_one ", LEN($C209)&gt;11, NOT(ISNUMBER(SEARCH(" ", $C209, 12)))))</formula>
    </cfRule>
    <cfRule type="expression" dxfId="1736" priority="153" stopIfTrue="1">
      <formula>$C209="decimal"</formula>
    </cfRule>
    <cfRule type="expression" dxfId="1735" priority="154" stopIfTrue="1">
      <formula>$C209="integer"</formula>
    </cfRule>
    <cfRule type="expression" dxfId="1734" priority="155" stopIfTrue="1">
      <formula>$C209="text"</formula>
    </cfRule>
    <cfRule type="expression" dxfId="1733" priority="156" stopIfTrue="1">
      <formula>$C209="end repeat"</formula>
    </cfRule>
    <cfRule type="expression" dxfId="1732" priority="157" stopIfTrue="1">
      <formula>$C209="begin repeat"</formula>
    </cfRule>
    <cfRule type="expression" dxfId="1731" priority="158" stopIfTrue="1">
      <formula>$C209="end group"</formula>
    </cfRule>
    <cfRule type="expression" dxfId="1730" priority="159" stopIfTrue="1">
      <formula>$C209="begin group"</formula>
    </cfRule>
    <cfRule type="expression" dxfId="1729" priority="160" stopIfTrue="1">
      <formula>$C209="barcode"</formula>
    </cfRule>
  </conditionalFormatting>
  <conditionalFormatting sqref="C321">
    <cfRule type="expression" dxfId="1728" priority="161" stopIfTrue="1">
      <formula>$A321="comments"</formula>
    </cfRule>
    <cfRule type="expression" dxfId="1727" priority="162" stopIfTrue="1">
      <formula>OR($A321="audio", $A321="video")</formula>
    </cfRule>
    <cfRule type="expression" dxfId="1726" priority="163" stopIfTrue="1">
      <formula>$A321="image"</formula>
    </cfRule>
    <cfRule type="expression" dxfId="1725" priority="164" stopIfTrue="1">
      <formula>OR($A321="date", $A321="datetime")</formula>
    </cfRule>
    <cfRule type="expression" dxfId="1724" priority="165" stopIfTrue="1">
      <formula>OR($A321="calculate", $A321="calculate_here")</formula>
    </cfRule>
    <cfRule type="expression" dxfId="1723" priority="166" stopIfTrue="1">
      <formula>$A321="note"</formula>
    </cfRule>
    <cfRule type="expression" dxfId="1722" priority="167" stopIfTrue="1">
      <formula>$A321="barcode"</formula>
    </cfRule>
    <cfRule type="expression" dxfId="1721" priority="168" stopIfTrue="1">
      <formula>OR($A321="geopoint", $A321="geoshape", $A321="geotrace")</formula>
    </cfRule>
    <cfRule type="expression" dxfId="1720" priority="169" stopIfTrue="1">
      <formula>OR($A321="audio audit", $A321="text audit", $A321="speed violations count", $A321="speed violations list", $A321="speed violations audit")</formula>
    </cfRule>
    <cfRule type="expression" dxfId="1719" priority="170" stopIfTrue="1">
      <formula>OR($A321="username", $A321="phonenumber", $A321="start", $A321="end", $A321="deviceid", $A321="subscriberid", $A321="simserial", $A321="caseid")</formula>
    </cfRule>
    <cfRule type="expression" dxfId="1718" priority="171" stopIfTrue="1">
      <formula>OR(AND(LEFT($A321, 16)="select_multiple ", LEN($A321)&gt;16, NOT(ISNUMBER(SEARCH(" ", $A321, 17)))), AND(LEFT($A321, 11)="select_one ", LEN($A321)&gt;11, NOT(ISNUMBER(SEARCH(" ", $A321, 12)))))</formula>
    </cfRule>
    <cfRule type="expression" dxfId="1717" priority="172" stopIfTrue="1">
      <formula>$A321="decimal"</formula>
    </cfRule>
    <cfRule type="expression" dxfId="1716" priority="173" stopIfTrue="1">
      <formula>$A321="integer"</formula>
    </cfRule>
    <cfRule type="expression" dxfId="1715" priority="174" stopIfTrue="1">
      <formula>$A321="text"</formula>
    </cfRule>
    <cfRule type="expression" dxfId="1714" priority="175" stopIfTrue="1">
      <formula>$A321="end repeat"</formula>
    </cfRule>
    <cfRule type="expression" dxfId="1713" priority="176" stopIfTrue="1">
      <formula>$A321="begin repeat"</formula>
    </cfRule>
    <cfRule type="expression" dxfId="1712" priority="177" stopIfTrue="1">
      <formula>$A321="end group"</formula>
    </cfRule>
    <cfRule type="expression" dxfId="1711" priority="178" stopIfTrue="1">
      <formula>$A321="begin group"</formula>
    </cfRule>
  </conditionalFormatting>
  <conditionalFormatting sqref="C542">
    <cfRule type="expression" dxfId="1710" priority="179" stopIfTrue="1">
      <formula>$A542="comments"</formula>
    </cfRule>
    <cfRule type="expression" dxfId="1709" priority="180" stopIfTrue="1">
      <formula>OR($A542="audio", $A542="video")</formula>
    </cfRule>
    <cfRule type="expression" dxfId="1708" priority="181" stopIfTrue="1">
      <formula>$A542="image"</formula>
    </cfRule>
    <cfRule type="expression" dxfId="1707" priority="182" stopIfTrue="1">
      <formula>OR($A542="date", $A542="datetime")</formula>
    </cfRule>
    <cfRule type="expression" dxfId="1706" priority="183" stopIfTrue="1">
      <formula>OR($A542="calculate", $A542="calculate_here")</formula>
    </cfRule>
    <cfRule type="expression" dxfId="1705" priority="184" stopIfTrue="1">
      <formula>$A542="note"</formula>
    </cfRule>
    <cfRule type="expression" dxfId="1704" priority="185" stopIfTrue="1">
      <formula>$A542="barcode"</formula>
    </cfRule>
    <cfRule type="expression" dxfId="1703" priority="186" stopIfTrue="1">
      <formula>OR($A542="geopoint", $A542="geoshape", $A542="geotrace")</formula>
    </cfRule>
    <cfRule type="expression" dxfId="1702" priority="187" stopIfTrue="1">
      <formula>OR($A542="audio audit", $A542="text audit", $A542="speed violations count", $A542="speed violations list", $A542="speed violations audit")</formula>
    </cfRule>
    <cfRule type="expression" dxfId="1701" priority="188" stopIfTrue="1">
      <formula>OR($A542="username", $A542="phonenumber", $A542="start", $A542="end", $A542="deviceid", $A542="subscriberid", $A542="simserial", $A542="caseid")</formula>
    </cfRule>
    <cfRule type="expression" dxfId="1700" priority="189" stopIfTrue="1">
      <formula>OR(AND(LEFT($A542, 16)="select_multiple ", LEN($A542)&gt;16, NOT(ISNUMBER(SEARCH(" ", $A542, 17)))), AND(LEFT($A542, 11)="select_one ", LEN($A542)&gt;11, NOT(ISNUMBER(SEARCH(" ", $A542, 12)))))</formula>
    </cfRule>
    <cfRule type="expression" dxfId="1699" priority="190" stopIfTrue="1">
      <formula>$A542="decimal"</formula>
    </cfRule>
    <cfRule type="expression" dxfId="1698" priority="191" stopIfTrue="1">
      <formula>$A542="integer"</formula>
    </cfRule>
    <cfRule type="expression" dxfId="1697" priority="192" stopIfTrue="1">
      <formula>$A542="text"</formula>
    </cfRule>
    <cfRule type="expression" dxfId="1696" priority="193" stopIfTrue="1">
      <formula>$A542="end repeat"</formula>
    </cfRule>
    <cfRule type="expression" dxfId="1695" priority="194" stopIfTrue="1">
      <formula>$A542="begin repeat"</formula>
    </cfRule>
    <cfRule type="expression" dxfId="1694" priority="195" stopIfTrue="1">
      <formula>$A542="end group"</formula>
    </cfRule>
    <cfRule type="expression" dxfId="1693" priority="196" stopIfTrue="1">
      <formula>$A542="begin group"</formula>
    </cfRule>
  </conditionalFormatting>
  <conditionalFormatting sqref="C654:C655">
    <cfRule type="expression" dxfId="1692" priority="197" stopIfTrue="1">
      <formula>$A654="comments"</formula>
    </cfRule>
    <cfRule type="expression" dxfId="1691" priority="198" stopIfTrue="1">
      <formula>OR($A654="audio", $A654="video")</formula>
    </cfRule>
    <cfRule type="expression" dxfId="1690" priority="199" stopIfTrue="1">
      <formula>$A654="image"</formula>
    </cfRule>
    <cfRule type="expression" dxfId="1689" priority="200" stopIfTrue="1">
      <formula>OR($A654="date", $A654="datetime")</formula>
    </cfRule>
    <cfRule type="expression" dxfId="1688" priority="201" stopIfTrue="1">
      <formula>OR($A654="calculate", $A654="calculate_here")</formula>
    </cfRule>
    <cfRule type="expression" dxfId="1687" priority="202" stopIfTrue="1">
      <formula>$A654="note"</formula>
    </cfRule>
    <cfRule type="expression" dxfId="1686" priority="203" stopIfTrue="1">
      <formula>$A654="barcode"</formula>
    </cfRule>
    <cfRule type="expression" dxfId="1685" priority="204" stopIfTrue="1">
      <formula>OR($A654="geopoint", $A654="geoshape", $A654="geotrace")</formula>
    </cfRule>
    <cfRule type="expression" dxfId="1684" priority="205" stopIfTrue="1">
      <formula>OR($A654="audio audit", $A654="text audit", $A654="speed violations count", $A654="speed violations list", $A654="speed violations audit")</formula>
    </cfRule>
    <cfRule type="expression" dxfId="1683" priority="206" stopIfTrue="1">
      <formula>OR($A654="username", $A654="phonenumber", $A654="start", $A654="end", $A654="deviceid", $A654="subscriberid", $A654="simserial", $A654="caseid")</formula>
    </cfRule>
    <cfRule type="expression" dxfId="1682" priority="207" stopIfTrue="1">
      <formula>OR(AND(LEFT($A654, 16)="select_multiple ", LEN($A654)&gt;16, NOT(ISNUMBER(SEARCH(" ", $A654, 17)))), AND(LEFT($A654, 11)="select_one ", LEN($A654)&gt;11, NOT(ISNUMBER(SEARCH(" ", $A654, 12)))))</formula>
    </cfRule>
    <cfRule type="expression" dxfId="1681" priority="208" stopIfTrue="1">
      <formula>$A654="decimal"</formula>
    </cfRule>
    <cfRule type="expression" dxfId="1680" priority="209" stopIfTrue="1">
      <formula>$A654="integer"</formula>
    </cfRule>
    <cfRule type="expression" dxfId="1679" priority="210" stopIfTrue="1">
      <formula>$A654="text"</formula>
    </cfRule>
    <cfRule type="expression" dxfId="1678" priority="211" stopIfTrue="1">
      <formula>$A654="end repeat"</formula>
    </cfRule>
    <cfRule type="expression" dxfId="1677" priority="212" stopIfTrue="1">
      <formula>$A654="begin repeat"</formula>
    </cfRule>
    <cfRule type="expression" dxfId="1676" priority="213" stopIfTrue="1">
      <formula>$A654="end group"</formula>
    </cfRule>
    <cfRule type="expression" dxfId="1675" priority="214" stopIfTrue="1">
      <formula>$A654="begin group"</formula>
    </cfRule>
  </conditionalFormatting>
  <conditionalFormatting sqref="C1:E1 E1:E2 D11:E11 G11:I11 C12:E12 G12 R14:U14 C14:E18 G14:H18 F14:F31 C19:D21 E19:E31 G19:G31 H25:U25 C26:E26 C27:D31 R29:U31 C33:I38 M33:M38 R33:U38 C40:E49 G40:H49 M40:M49 F40:F69 I40:I69 R40:U69 L50:M53 E50:E69 G50:G69 C54:D69 H54:H69 M54:M69 C71:E81 F71:I84 M71:M84 R71:U84 D82:E84 H86:I86 M86:M91 C86:G96 R86:U96 H87:K91 N89:N91 H92:H96 D98:H103 C105:K108 M105:N108 R105:U108 D110:E114 G110:H114 F110:F115 C115:E115 G115:K115 M115:N115 R115:U115 H117:U123 C117:G130 L124 H124:K128 M124:U128 H129:O130 R129:U130 D132:E132 G132:H132 F132:F137 C133:E137 G133:K137 M133:N137 R133:U137 M139 C139:G151 I139:K151 N139:N151 R139:U151 L140:M151 C160:E160 H160 E160:G180 R160:U180 C164:E164 D165:E165 C166:E166 C168:E168 C170:E170 P172:P177 G182:K182 M182:N182 R182:U183 H189 L189:Q189 J189:K191 E189:G192 I189:I192 R189:U192 O190 M190:N191 J192:N192 R200:U236 I202 L202:M202 H245:H280 H284:H295 M314:U314 H324:H327 R324:U327 H328:U328 L329:Q402 I329:K433 H329:H468 R329:U477 O403:O404 M405:N433 L405:L468 O422:P423 O433 I435:K444 M435:N444 O444 I446:K468 M446:N468 H469:N476 C477:O477 M478:N498 L478:L519 J498:K519 C530:U530 C532:U534 C536:H536 O536:U536 H545:U545 J546:K546 N546 O546:Q575 H546:H601 I547:K578 M547:N578 L548:L549 O576:O579 I579:N596 O580:Q601 C609:I609 M609 R609:U609 C611:I612 L611:M612 R611:U612 C614:U614 O616:O618 C616:N623 O619:Q623 E634:G646 I634:I646 M634:M646 R634:U646 C648:I652 L648:M652 R648:U652 D654:E655 G654:I655 M654:M655 F654:F656 R654:U656 C656:E656 G656:H656 C659:H665 R659:U665 R667 C689:U689 C210:E215 R194:U198 G1:G10 I1:Q10 F1:F12 H2:H10 R2:U10 C3:E10 C324:G476 O473:O476 I478:K497 H478:H519 C478:G528 O478:U528 I498 H520:L528 I512:I519 H153:K153 M153:N153 R153:U155 H154:N155 H156:H158 J262:L278 L271:N278 F182:F187 E183:E187 G183:G187 D184:D187 H184:U187 F200:F238 E201:E235 G201:G241 N205:N207 I208 L208:N208 J208:K227 K208:K235 I210:I236 L210:N236 O216:Q236 C221:E226 J234:K236 C236:E237 E237:E239 I237:U242 C239:G242 K244:K245 I244:I280 R244:U280 C244:G296 L245:P245 N245:N256 J245:K261 O246:Q247 L246:M249 O248 P248:Q256 L249:O256 O257:Q261 K257:N269 N262:Q269 M270:Q270 O271:Q280 J279:N280 I281:U281 H282:U282 I283:U296 O298:Q298 I298:N301 C298:G312 R298:U312 O299:O301 P299:Q302 H299:H312 J302:O302 I302:I312 J303:Q312 H314:K314 G314:G320 G322 M512:N528 C545:G601 R546:U601 I598:I601 J599:N601 C602:U607 R616:U623 C625:U625 C626:K626 M626:U626 C627:U628 H150:H151 C200:E201 G200:Q201 P205:P206 H220:H233 J244 L244:Q244 H142:H145 H147:H148 H209:H217 D631:I631 M631 R631:U631">
    <cfRule type="expression" dxfId="1674" priority="216" stopIfTrue="1">
      <formula>$C1="text"</formula>
    </cfRule>
  </conditionalFormatting>
  <conditionalFormatting sqref="C1:E1 E1:E2 G1:G10 I1:Q10 F1:F12 H2:H10 R2:U10 C3:E10 D11:E11 G11:I11 C12:E12 G12:U12 R14:U14 H14:H18 E14:E25 F14:G31 C19:D21 H25:U25 C26:E31 R29:U31 C33:I38 M33:M38 R33:U38 C40:E49 G40:H49 M40:M49 F40:F69 I40:I69 R40:U69 L50:M53 E50:E69 G50:G69 C54:D69 H54:H69 M54:M69 C71:E81 F71:I84 M71:M84 R71:U84 D82:E84 H86:I86 M86:M91 C86:G96 R86:U96 H87:K91 N89:N91 H92:H96 D98:H103 C105:K108 M105:N108 R105:U108 D110:E114 G110:H114 F110:F115 C115:E115 G115:K115 M115:N115 R115:U115 H117:U117 C117:G130 H118:K123 M118:U123 H124:U130 D132:E132 G132:H132 F132:F137 C133:E137 G133:K137 M133:N137 R133:U137 M139 C139:G151 I139:K151 N139:N151 R139:U151 L140:M151 H142:H145 H147:H148 H150:H151 H153:K153 M153:N153 R153:U155 H154:N155 H156:H158 C160:E160 H160 E160:G180 R160:U180 C164:E164 D165:E165 C166:E166 C168:E168 C170:E170 P172:P177 G182:K182 M182:N182 R182:U183 F182:F187 E183:E187 G183:G187 D184:D187 H184:U187 H189 L189:Q189 J189:K191 E189:G192 I189:I192 R189:U192 O190 M190:N191 J192:N192 R194:U198 I200:Q201 E200:E235 R200:U236 F200:G238 I202 L202:M202 P205:P206 N205:N207 I208 L208:N208 J208:K227 K208:K235 H209:H217 C210:E215 I210:I236 L210:N236 O216:Q236 H220:H233 C221:E226 J234:K236 C234:E237 E237:E239 I237:U242 G238:G241 C239:G242 J244:Q244 I244:I280 R244:U280 C244:E289 G244:G289 F244:F296 L245:P245 J245:K256 H245:H280 L246:M249 N246:Q256 M249:N249 L250:N256 J257:Q261 K262:O269 J262:L278 O262:Q280 M270:N270 L271:N278 J279:N280 I281:U281 H282:U282 I283:U296 E284:E295 G284:H295 C296:E296 G296 C298:E298 O298:Q298 I298:N301 E298:E304 F298:G312 R298:U312 O299:O301 P299:Q302 H299:H312 C301:E312 J302:O302 I302:I312 J303:Q312 H314:K314 M314:U314 G314:G320 G322 H324:H327 R324:U327 C324:G476 H328:U328 I329:Q402 H329:H468 R329:U477 O403:O404 I405:K433 M405:N433 L405:L468 O422:P423 O433 I435:K444 M435:N444 O444 I446:K468 M446:N468 H469:N476 O473:O476 C477:O477 I478:K497 M478:N498 H478:H519 L478:L519 C478:G528 O478:U528 I498 J498:K519 I512:I519 M512:N528 H520:L528 C530:U530 C532:U534 C536:H536 O536:U536 H545:U545 C545:G607 J546:K546 N546 O546:Q575 R546:U601 H546:H607 I547:K549 M547:N549 L548:L549 I550:N596 O576:O579 O580:Q601 I598:I601 J599:N601 I602:U607 C609:I609 M609 R609:U609 C611:I612 L611:M612 R611:U612 C614:U614 C616:U623 C625:U625 C626:K626 M626:U626 C627:U628 D631:I631 M631 R631:U631 E634:G646 I634:I646 M634:M646 R634:U646 C648:I652 L648:M652 R648:U652 D654:E655 G654:I655 M654:M655 F654:F656 R654:U656 C656:E656 G656:H656 C659:H665 R659:U665 R667 C689:U689">
    <cfRule type="expression" dxfId="1673" priority="217" stopIfTrue="1">
      <formula>$C1="end repeat"</formula>
    </cfRule>
  </conditionalFormatting>
  <conditionalFormatting sqref="C1:E1 E1:E10 G1:G10 I1:Q10 F1:F12 C2:D10 H2:H10 R2:U10 D11:E11 G11:K11 C12:E12 G12:U12 C14:E24 G14:Q24 F14:F31 R14:U31 E22:E28 G22:G31 C26:E27 C29:E31 C33:K38 M33:U38 M40:N49 E40:K69 O40:U69 L50:N53 M54:N69 E71:E81 F71:K84 M71:U84 D82:E84 H86:K91 M86:U91 C86:G96 H92:U96 D98:U103 C105:K108 M105:U108 G110:K110 D110:E114 F110:F115 G111:U114 R113:U115 C115:E115 G115:K115 M115:U115 H117:K117 M117:U117 C117:G130 H118:U130 D132:E132 F132:K137 M132:U137 C133:E137 M139:N139 C139:G151 I139:K151 O139:U151 L140:N151 H142:H145 H147:H151 D153:K153 M153:U153 D154:U158 C160:E160 H160 E160:G180 R160:U180 C164:E164 D165:E165 C166:E166 C168:E168 C170:E170 P172:Q177 E182:K182 M182:U182 C183:E183 E183:U187 D184:E187 C189:U192 M194:U194 D195:U198 I200:U201 E200:E227 F200:G238 H202:U202 I203:U235 C228:E237 H236:U237 E237:E239 I238:U238 G238:G241 C239:U242 L244:Q244 I244:K249 L244:M280 R244:U280 C244:G296 N245:Q280 H246:H280 J249:K280 I250:I280 L271:N278 I281:U281 H282:U282 I283:U296 H284:H295 C298:U312 H314:K314 M314:U314 G314:G320 G322 H324:U328 C324:G476 J329:K433 H329:I468 L329:U468 J435:K444 J446:K468 H469:U476 C477:U477 I478:I499 M478:N499 J478:K519 C478:H528 L478:L528 O478:U528 I501:I519 M501:N519 C530:H530 L530 O530:U530 C532:H534 L532:L534 O532:U534 C536:K536 M536:U536 H545:U549 C545:G601 I550:N578 H550:H601 O550:U601 K579:N596 I579:K601 L597:M599 L599:N601 C602:U607 C609:U609 C611:U612 C614:U614 C616:U623 C625:U625 C626:K626 M626:U626 C627:U628 D631:K631 M631:U631 C634:U646 C648:U652 D654:E655 G654:K655 M654:U655 F654:F656 C656:E656 G656:U656 C659:U665 R667 C689:U689 M11:U11 H26:Q31 M110:U110 O160:Q171 I160:N180 O178:Q180 D194:K194 N597:N598 D321:K321 D542:K542">
    <cfRule type="expression" dxfId="1672" priority="218" stopIfTrue="1">
      <formula>$C1="begin group"</formula>
    </cfRule>
  </conditionalFormatting>
  <conditionalFormatting sqref="C1:E1 G1:G10 I1:Q10 E1:F12 C2:D10 H2:H10 R2:U10 D11:E11 G11:U12 C12:E12 C14:E24 E14:E25 F14:U31 C26:E31 C33:U38 C40:U69 C71:E81 F71:U84 D82:E84 C86:U96 D98:U103 C105:U108 F110:K110 M110:U110 D110:E114 F111:U115 C115:E115 H117:U128 C117:G130 H129:O130 R129:U130 D132:K132 M132:U132 C133:U137 C139:G151 I139:U151 D153:K153 M153:U153 D154:U158 C160:E160 H160 E160:G180 I160:U180 C164:E166 C168:E168 C170:E170 D182:E182 G182:K182 M182:U182 F182:F187 I183:U183 E183:E187 G183:G187 D184:D187 H184:U187 E189:G192 I189:U192 C190:E192 H190:H192 D194:K194 M194:U194 D195:U198 E200 I200:U201 F200:G238 C201:E237 H202:U202 H203:Q235 R203:U236 H236:P236 H237:U238 E237:E239 G238:G241 C239:U242 C244:G296 R244:U296 J245:K270 H245:I280 L245:Q280 I271:Q278 J279:K280 H282:Q282 H284:Q295 C298:U312 H314:K314 M314:U314 G314:G320 G322 H324:U328 C324:G476 O329:Q421 H329:N468 R329:U468 N422:P423 O424:Q468 H469:U476 C477:U528 C530:U530 C532:U534 C536:K536 M536:U536 H545:U545 C545:G607 M546:N546 N546:N549 O546:Q575 H546:K607 R546:U607 L547:M549 L550:N596 O576:O579 O580:Q607 M597:N597 L597:L599 L598:N607 C609:U609 C611:U612 C614:U614 O616:O618 C616:N623 R616:U623 O619:Q623 C625:U625 C626:K626 M626:U626 C627:U628 C634:U646 C648:U652 D654:E655 F654:U656 C656:E656 C659:U665 R667 C689:U689 H201 H162:H180 D314:F314">
    <cfRule type="expression" dxfId="1671" priority="219" stopIfTrue="1">
      <formula>OR($C1="geopoint", $C1="geoshape", $C1="geotrace")</formula>
    </cfRule>
  </conditionalFormatting>
  <conditionalFormatting sqref="C1:E1 G1:G10 I1:Q10 E1:F12 C2:D10 H2:H10 R2:U10 D11:E11 G11:U12 C12:E12 C14:E24 H14:Q24 E14:E25 F14:G31 R14:U31 C26:E31 G26:Q31 C33:U38 C40:U69 C71:E81 F71:U84 D82:E84 H86:U86 C86:G96 H87:M91 O87:U91 N89:N91 H92:U96 D98:U103 C105:U108 F110:K110 M110:U110 D110:E114 F111:U115 C115:E115 C117:U130 D132:K132 M132:U132 C133:U137 C139:G151 I139:U151 H142:H145 H147:H148 H150:H151 D153:K153 M153:U153 D154:U158 C160:E160 H160 E160:G180 I160:U180 C164:E164 D165:E165 C166:E166 C168:E168 C170:E170 D182:K182 M182:U182 C183:E183 E183:U187 D184:E187 C189:U192 D194:K194 M194:U194 D195:U198 E200 I200:U201 F200:G238 C201:E237 H202:U202 J203:K227 I203:I235 K203:U235 H209:H233 J210:N215 J234:K235 H236:U237 E237:E239 I238:U238 G238:G241 C239:U242 L244:N245 I244:K280 O244:U280 C244:G296 N245:N270 H246:H280 L246:M280 L271:N278 N279:N280 I281:U281 H282:U282 I283:U283 L284:N284 L284:L287 H284:K295 O284:U295 M285:N285 L286:N295 I296:U296 C298:U312 D314:F314 H314:K314 M314:U314 G314:G320 G322 H324:U328 C324:G476 J329:J404 L329:N404 K329:K422 H329:I468 O329:U468 J405:K433 M405:N445 L405:L468 J435:K444 J446:N468 H469:U476 C477:U477 J478:N497 I478:I499 C478:H528 L478:L528 O478:U528 M498:N499 J498:K500 I501:K519 M501:N519 C530:H530 L530 O530:U530 C532:H534 L532:L534 O532:U534 C536:K536 M536:U536 H545:U549 C545:G601 I550:N578 H550:H601 O550:U601 L579:N596 I579:K601 M597:N597 L597:L599 N598 M598:M599 L599:N601 C602:U607 C609:U609 C611:U612 C614:U614 C616:U623 C625:U625 C626:K626 M626:U626 C627:U628 C634:U646 C648:U652 D654:E655 F654:U656 C656:E656 C659:U665 R667 C689:U689">
    <cfRule type="expression" dxfId="1670" priority="223" stopIfTrue="1">
      <formula>$C1="end group"</formula>
    </cfRule>
  </conditionalFormatting>
  <conditionalFormatting sqref="C1:E1 G1:G10 I1:Q10 E1:F12 C2:D10 H2:H10 R2:U10 D11:E11 G11:U12 C12:E12 C14:E24 I14:Q24 E14:E25 H14:H28 F14:G31 R14:U31 C26:E31 I26:Q31 C33:G38 I33:U38 C40:E49 E40:E53 F40:U69 C54:E69 C71:E81 F71:U84 D82:E84 H86:U86 C86:G96 H87:H91 O87:U91 I89:N91 I92:U96 D98:U103 C105:U108 F110:K110 M110:U110 D110:E114 F111:U115 C115:E115 C117:U130 D132:K132 M132:U132 C133:U137 C139:G151 D153:K153 M153:U153 D154:U158 C160:E160 H160 E160:G180 C164:E164 D165:E165 C166:E166 G166:H166 C168:E168 G168:H168 C170:E170 D182:E182 G182:K182 M182:U182 F182:F187 I183:U183 E183:E187 G183:G187 D184:D187 H184:U187 E189:U192 D194:K194 M194:U194 D195:U198 E200 I200:U201 F200:G238 C201:E201 H201 H202:U202 E202:E235 O203:Q208 H203:H234 I203:N236 R203:U236 O209:P209 P209:Q210 O210 O211:Q235 C234:E238 H236 O236:P236 H237:U237 E237:E239 I238:U238 G238:G241 C239:U242 I244:Q244 R244:U280 C244:G296 H245:Q247 O248:P248 P248:Q256 H248:N280 O249:O256 O257:Q280 I281:U281 H282:U282 I283:U283 H284:U295 I296:U296 C298:U312 D314:F314 H314:K314 M314:U314 G314:G320 G322 H324:P326 R324:U326 C324:G476 H327:U328 O329:P329 I329:N422 H329:H468 R329:U468 O330:Q332 O333:P334 O335:Q356 O357:P358 O359:Q399 O400:P400 O401:Q407 L405:L468 O408:P410 O411:Q412 O413:P415 O416:Q416 O417:P417 O418:Q418 O419:P419 O420:Q421 O422 O424:Q429 I424:N468 O430:P430 O431:Q432 O433:P434 O435:Q440 O441:P441 O442:Q443 O444:P445 O446:Q468 H469:U476 C477:U477 H478:U493 C478:G528 I494:I497 L494:M497 N494:N498 J494:K499 O494:Q499 H494:H519 R494:U528 L497:L519 I499 M499:N499 I501:I511 M501:N511 J501:K519 O501:Q520 I515:I519 M515:N519 H520:N528 O521:O523 O524:Q528 C530:U530 C532:U534 C536:K536 M536:O536 Q536:U536 H545:U545 C545:G601 I546:Q549 H546:H601 L546:L601 R546:U601 O550:Q575 I550:N578 O576:O578 I580:K583 M580:Q583 J584:K585 O584:O585 Q584:Q585 I586:K590 M586:Q590 J591:K592 O591:O592 Q591:Q592 I593:K597 M593:N597 O593:Q601 J597:K598 I599:K601 M599:N601 C602:U607 C609:U609 C611:U612 C614:U614 I616:O617 C616:H623 L616:L623 R616:U623 M618:O618 I618:K622 M619:Q622 I623:Q623 C625:U625 C626:K626 M626:U626 C627:U628 C634:U646 C648:U652 D654:E655 F654:U656 C656:E656 C659:U665 R667 C689:U689 I139:U151 I160:N170 O160:U180 P576:Q579 P616:Q618">
    <cfRule type="expression" dxfId="1669" priority="221" stopIfTrue="1">
      <formula>OR($C1="calculate", $C1="calculate_here")</formula>
    </cfRule>
  </conditionalFormatting>
  <conditionalFormatting sqref="C1:E1 G1:G10 I1:Q10 E1:F12 C2:D10 H2:H10 R2:U10 D11:E11 G11:U12 C12:E12 C14:E24 O14:Q24 E14:E25 F14:N31 R14:U31 O25:U25 C26:E31 O26:Q31 C33:U38 C40:U69 C71:E81 F71:U84 D82:E84 H86:U86 C86:G96 H87:M91 O87:U91 N89:N91 H92:U96 D98:U103 C105:U108 F110:K110 M110:U110 D110:E114 F111:U115 C115:E115 C117:U130 D132:K132 M132:U132 C133:U137 C139:G151 I139:U151 D153:K153 M153:U153 D154:U158 C160:E160 H160 E160:G180 I160:U180 C164:E164 D165:E165 C166:E166 C168:E168 C170:E170 D182:K182 M182:U182 E182:E183 F183:U187 D184:E187 J189:K190 H189:I191 E189:G192 K189:U192 C190:E192 H192:K192 D194:K194 M194:U194 D195:U198 I200:U201 E200:E235 F200:G242 H201 C201:E233 H202:U202 J203:K227 N203:N227 H203:H233 I203:I235 K203:M235 O203:U235 M228:N233 J234:K235 N234:N235 C236:E242 H236:U242 O244:Q244 I244:N249 R244:U280 C244:E289 G244:G289 F244:F296 O245:P245 H245:H279 O246:Q280 J249:K280 N249:N280 L250:N256 I250:I280 L251:M280 M262:O269 I281:U296 E284:E295 G284:H295 C296:E296 G296 C298:U312 D314:F314 H314:K314 M314:U314 G314:G320 G322 H324:U328 C324:G476 J329:J404 L329:N404 K329:K422 H329:I468 O329:U468 J405:K433 M405:N445 L405:L468 J435:K444 J446:N468 H469:U476 C477:U477 J478:N497 I478:I499 O478:Q520 C478:H528 R478:U528 L493:L528 M498:N499 J498:K500 I501:K528 M501:N528 O521:O523 O524:Q528 C530:H530 L530 O530:U530 C532:U534 C536:K536 M536:U536 H545:U549 C545:G607 I550:N578 H550:H607 O550:U607 L579:N596 I579:K607 M597:N597 L597:L599 M598:M599 L599:N607 C609:U609 C611:U612 C614:U614 C616:U623 C625:U625 C626:K626 M626:U626 C627:U628 C634:E644 H634:H644 F634:G646 I634:U646 E636:E646 H646 C648:U652 D654:E655 F654:U656 C656:E656 C659:U665 R667 C689:U689 H142:H145 H147:H148 Q521:Q523 N598 H150:H151">
    <cfRule type="expression" dxfId="1668" priority="222" stopIfTrue="1">
      <formula>$C1="begin repeat"</formula>
    </cfRule>
  </conditionalFormatting>
  <conditionalFormatting sqref="C1:E1 G1:G10 I1:Q10 E1:F12 C2:D10 H2:H10 R2:U10 D11:E11 G11:U12 C12:E12 C14:E24 O14:Q24 E14:E25 F14:N31 R14:U31 O25:U25 C26:E31 O26:Q31 C33:U38 C40:U69 C71:E81 F71:U84 D82:E84 H86:U86 C86:G96 H87:M91 O87:U91 N89:N91 H92:U96 D98:U103 C105:U108 F110:K110 M110:U110 D110:E114 F111:U115 C115:E115 C117:U130 D132:K132 M132:U132 C133:U137 C139:G151 I139:U151 H142:H145 H147:H148 H150:H151 D153:K153 M153:U153 D154:U158 C160:E160 H160 O160:Q171 E160:G180 R160:U180 P172:Q177 O178:Q180 D182:E182 G182:K182 M182:U182 F182:F187 H183 O183:U183 E183:E187 G183:G187 D184:D187 H184:U187 L189:N189 H189:K191 E189:G192 O189:U192 M190:N191 C190:E192 L190:L192 H192:N192 D194:K194 M194:U194 D195:U198 I200:U201 E200:E235 F200:G238 C201:E237 H202:U202 O203:Q208 I203:N235 R203:U235 H208:H217 P209:Q215 O210:O215 O216:Q235 H219:H233 H236:U237 E237:E239 I238:U238 G238:G241 C239:U242 J244:N249 I244:I280 O244:U280 C244:G296 H245:H280 L249:N269 J249:K280 L262:L278 M270:N270 K271:N280 I281:U281 H282:U282 I283:U283 K284:O287 L284:M288 P284:Q288 H284:K295 R284:U295 N288:O288 K289:Q295 I296:U296 C298:U312 D314:F314 H314:K314 M314:U314 G314:G320 G322 H324:K327 M324:U327 C324:G476 H328:U328 H329:Q404 R329:U468 O405:Q421 H405:N468 O422:P423 O424:Q432 O433 P433:Q434 N434:O434 O435:Q443 O444 P444:Q445 N445:O445 O446:Q468 H469:U476 C477:U528 C530:U530 C532:U534 C536:K536 M536:U536 H545:U545 C545:G601 I546:K549 M546:U549 H546:H601 L548:L549 I550:N596 O550:U601 J597:K598 L597:L599 M598:M599 I598:I601 J599:N601 C602:U607 C609:U609 C611:U612 C614:U614 C616:U623 C625:U625 C626:K626 M626:U626 C627:U628 C634:G646 I634:U646 H645:H646 C648:U652 D654:E655 F654:U656 C656:E656 C659:U665 R667 C689:U689 H201 H203:H204">
    <cfRule type="expression" dxfId="1667" priority="224" stopIfTrue="1">
      <formula>$C1="integer"</formula>
    </cfRule>
  </conditionalFormatting>
  <conditionalFormatting sqref="C1:E1 G1:G10 I1:Q10 E1:F12 C2:D10 H2:H10 R2:U10 D11:E11 G11:U12 C12:E12 C14:E24 O14:Q24 F14:N31 R14:U31 E25 O25:U25 C26:E31 O26:Q31 C33:U38 C40:U69 C71:E81 F71:U84 D82:E84 H86:U86 C86:G96 H87:M91 O87:U91 N89:N91 H92:U96 D98:U103 C105:U108 F110:K110 M110:U110 D110:E114 F111:U115 C115:E115 H117:U123 C117:G130 L124 H124:K128 M124:U128 H129:O130 R129:U130 D132:K132 M132:U132 C133:U137 C139:G151 D153:K153 M153:U153 D154:U158 H160 E160:G180 E182:K182 M182:U182 E183:U187 D184:G187 L189:N189 H189:K191 C189:G192 O189:U192 M190:N191 L190:L192 H192:N192 D194:K194 M194:U194 D195:U198 I200:U201 E200:E235 F200:G238 H201 C201:E233 H202:U202 H203:H217 N203:N227 I203:M235 O203:U236 H219:H234 M228:N233 N234:N236 H236:M236 C236:E237 H237:U237 E237:E239 I238:U238 G238:G241 C239:U242 J244:N249 I244:I280 O244:U280 C244:E289 G244:G289 F244:F296 H245:H280 J249:K280 N249:N280 L250:N250 L251:M280 I281:U281 H282:U282 I283:U283 O284:O287 P284:Q288 E284:E295 G284:N295 R284:U295 N288:O288 O289:Q295 C296:E296 G296 I296:U296 C298:E298 E298:E300 F298:U312 C301:E312 D314:F314 H314:K314 M314:U314 G314:G320 G322 H324:U328 C324:G476 J329:N404 O329:Q421 I329:I422 H329:H468 R329:U468 J405:K422 M405:N445 L405:L468 O422:P423 I423:K433 O424:Q432 O433 P433:Q434 N434:O434 J434:K445 I434:I468 O435:Q443 O444 P444:Q445 N445:O445 J446:Q468 H469:U476 C477:U477 J478:N497 C478:I528 L478:L528 O478:U528 J498:K528 M498:N528 C530:U530 C532:U534 C536:K536 M536:U536 H545:U545 C545:G601 I546:K549 M546:N549 O546:Q575 H546:H601 R546:U601 L548:L549 I550:N596 O576:O579 O580:Q601 J597:K598 L597:L599 M598:M599 I598:I601 J599:N601 C602:U607 C609:U609 C611:U612 C614:U614 O616:O618 C616:N623 R616:U623 O619:Q623 C625:U625 C626:K626 M626:U626 C627:U628 C634:E644 F634:G646 I634:U646 E636:E646 H646 C648:U652 D654:E655 F654:U656 C656:E656 C659:U665 R667 C689:U689 H139:H145 H147:H148">
    <cfRule type="expression" dxfId="1666" priority="220" stopIfTrue="1">
      <formula>$C1="decimal"</formula>
    </cfRule>
  </conditionalFormatting>
  <conditionalFormatting sqref="C1:E10 G1:G10 I1:Q10 F1:F12 H2:H10 R2:U10 C314 C324:G528 I494:I497 L494:M497 N494:N498 J494:K499 O494:Q499 H494:H519 R494:U528 C182">
    <cfRule type="expression" dxfId="1665" priority="105" stopIfTrue="1">
      <formula>OR($C1="date", $C1="datetime")</formula>
    </cfRule>
  </conditionalFormatting>
  <conditionalFormatting sqref="C182:E182 C314 G1:G10 I1:Q10 E1:F12 C2:D10 H2:H10 R2:U10 C324:G477 J478:N497 I478:I499 C478:H528 O478:U528 J470:U477">
    <cfRule type="expression" dxfId="1664" priority="108" stopIfTrue="1">
      <formula>$C1="barcode"</formula>
    </cfRule>
  </conditionalFormatting>
  <conditionalFormatting sqref="C182:E182 C314:F314">
    <cfRule type="expression" dxfId="1663" priority="114" stopIfTrue="1">
      <formula>$C182="text"</formula>
    </cfRule>
    <cfRule type="expression" dxfId="1662" priority="115" stopIfTrue="1">
      <formula>$C182="end repeat"</formula>
    </cfRule>
    <cfRule type="expression" dxfId="1661" priority="118" stopIfTrue="1">
      <formula>$C182="begin group"</formula>
    </cfRule>
  </conditionalFormatting>
  <conditionalFormatting sqref="C1:G1 C26:G26 C40:G69 C71:G81 H160 O172:P177 H203:H234 C164:E164 G164:G165 F164:F166 D165:E165 C166:E166 G166:H166 C168:H168 C170:G170 O209:P209 O210 O161:P170 O179:P180">
    <cfRule type="expression" dxfId="1660" priority="229" stopIfTrue="1">
      <formula>$C1="image"</formula>
    </cfRule>
  </conditionalFormatting>
  <conditionalFormatting sqref="C1:G1 C71:G81 O161:P170 C166:H166 C168:H168 O172:P177 O179:P180 H203:H234 O209:P209 O210">
    <cfRule type="expression" dxfId="1659" priority="231" stopIfTrue="1">
      <formula>OR($C1="audio", $C1="video")</formula>
    </cfRule>
  </conditionalFormatting>
  <conditionalFormatting sqref="C1:G1 E71:U84 C86:U96 C98:U103 C105:U108 E110:K110 M110:U110 E111:U115 C117:G130 I118:U128 H124:H128 H129:U130 D132:K132 M132:U132 C133:U137 C139:G151 D153:K153 M153:U153 D154:U158 E160:G180 C162:E165 C167:E167 C169:E180 C189:U192 M194:U194 H324:U328 K329:N404 H329:K468 O329:U468 L405:N468 H469:U493 C530:I530 L530 R530:U530 C532:U534 C536:K536 H545:U549 M546:M585 C609:Q609 C611:Q612 C614:U614 L616:N617 O616:Q619 K616:M623 R616:U623 N618:N622 N620:Q620 O621:Q621 N622:Q622 L623:Q623 C634:U646 C648:U652 E654:U656 C659:U665 C689:U689 O209:P209 O210 R314 M497:M499 M536:U536 G1:G2 D195:U198 H117:U117 J616:J617 J618:K622 J623 H139:H148 H119 D194:K194 R667">
    <cfRule type="expression" dxfId="1658" priority="332" stopIfTrue="1">
      <formula>$C1="comments"</formula>
    </cfRule>
  </conditionalFormatting>
  <conditionalFormatting sqref="C1:G1 G1:G10 F1:F12 C26:G31 C71:E81 F71:G84 C160:H160 I160:U180 H162:H180 C164:G166 C168:G168 C170:G170 H203:U242 I1:Q10 C2:E10 H2:H10 R2:U10 D11:E11 F11:G12 C12:E12 R14:U31 H200:U201 C200:G242 F324:G476 E327:E476 C470:E476 H470:U476 C477:U477 M478:M499 C478:L528 N478:U528 C14:G24 I14:Q24 I26:Q31 D82:E84 C86:G96 H87:I91 L87:M91 O87:U91 J89:K91 N89:N91 I92:U96 D110:E114 F110:G115 C115:E115 H117:U117 E118:G118 I118:U123 E120:G123 D132:E132 F132:G137 C133:E137 D182:K182 M182:U182 C183:U187 C189:G190 C244:G296 R244:U296 H245:H279 I245:Q280 I282:Q282 H284:Q295 C298:U312 D314:F314 H314:K314 M314:U314 G314:G320 G322 H324:U327 M405:N445 L498:M506 M501:M528 M530 E534:G534 M536:U536 C545:G607 R546:U607 N550:Q592 I550:I596 M550:M596 J550:K598 L550:L601 H550:H607 N593:N596 O593:Q601 M597:N601 I598:K601 I602:Q607 C616:L623 C625:U625 C626:K626 M626:U626 C627:U628 L648 D654:E655 F654:G656 C656:E656 I139:U151">
    <cfRule type="expression" dxfId="1657" priority="230" stopIfTrue="1">
      <formula>$C1="note"</formula>
    </cfRule>
  </conditionalFormatting>
  <conditionalFormatting sqref="C1:G1 G1:G10 I1:Q10 E1:F12 C2:D10 H2:H10 R2:U10 C26:G26 R29:R31 R33:R38 R40:R44 C60:G69 C71:G81 H139:H145 H160 O172:P177 C201:H201 H203:H217 L225:L227 C324:G477 L470:U477 L478:N497 C478:K528 O478:U528 H147:H148">
    <cfRule type="expression" dxfId="1656" priority="228" stopIfTrue="1">
      <formula>OR(AND(LEFT($C1, 16)="select_multiple ", LEN($C1)&gt;16, NOT(ISNUMBER(SEARCH(" ", $C1, 17)))), AND(LEFT($C1, 11)="select_one ", LEN($C1)&gt;11, NOT(ISNUMBER(SEARCH(" ", $C1, 12)))))</formula>
    </cfRule>
  </conditionalFormatting>
  <conditionalFormatting sqref="C14:G26 H219:H236 H237:U238 C239:U242 C298:U312 I203:N236 O211:Q236 M497:M519 N498:N519 H501:K528 M536 H546:K607 F182:F187 E183:E187 G183:G187 H184:U187 I200:U201 E200:E227 F200:G238 R203:U236 C228:E237 E237:E239 G238:G241 R244:U281 H245:I280 O257:Q280 J279:N280 R283:U283 H284:U295 R296:U296 C314:F314 H314:K314 M314:U314 G314:G320 G322 L497:L528 M520:N528 C545:G607 R550:U607 O580:Q601 L600:M601 L602:Q607 C616:G623 C625:U625 C626:K626 M626:U626 C627:U628 L648">
    <cfRule type="expression" dxfId="1655" priority="248" stopIfTrue="1">
      <formula>OR($C14="audio audit", $C14="text audit", $C14="speed violations count", $C14="speed violations list", $C14="speed violations audit")</formula>
    </cfRule>
  </conditionalFormatting>
  <conditionalFormatting sqref="C21:G25">
    <cfRule type="expression" dxfId="1654" priority="233" stopIfTrue="1">
      <formula>OR($C21="username", $C21="phonenumber", $C21="start", $C21="end", $C21="deviceid", $C21="subscriberid", $C21="simserial", $C21="caseid")</formula>
    </cfRule>
  </conditionalFormatting>
  <conditionalFormatting sqref="C22:G25 H236:H237 H239:H242 H298">
    <cfRule type="expression" dxfId="1653" priority="234" stopIfTrue="1">
      <formula>$C22="text"</formula>
    </cfRule>
    <cfRule type="expression" dxfId="1652" priority="235" stopIfTrue="1">
      <formula>$C22="end repeat"</formula>
    </cfRule>
  </conditionalFormatting>
  <conditionalFormatting sqref="C22:G25 H14:U31">
    <cfRule type="expression" dxfId="1651" priority="238" stopIfTrue="1">
      <formula>$C14="image"</formula>
    </cfRule>
  </conditionalFormatting>
  <conditionalFormatting sqref="C25:G25 I532:K534 M532:N534">
    <cfRule type="expression" dxfId="1650" priority="236" stopIfTrue="1">
      <formula>$C25="end group"</formula>
    </cfRule>
    <cfRule type="expression" dxfId="1649" priority="237" stopIfTrue="1">
      <formula>$C25="begin group"</formula>
    </cfRule>
  </conditionalFormatting>
  <conditionalFormatting sqref="C25:G25 I25:Q25">
    <cfRule type="expression" dxfId="1648" priority="239" stopIfTrue="1">
      <formula>OR($C25="date", $C25="datetime")</formula>
    </cfRule>
    <cfRule type="expression" dxfId="1647" priority="240" stopIfTrue="1">
      <formula>OR($C25="calculate", $C25="calculate_here")</formula>
    </cfRule>
    <cfRule type="expression" dxfId="1646" priority="241" stopIfTrue="1">
      <formula>$C25="note"</formula>
    </cfRule>
    <cfRule type="expression" dxfId="1645" priority="242" stopIfTrue="1">
      <formula>$C25="barcode"</formula>
    </cfRule>
  </conditionalFormatting>
  <conditionalFormatting sqref="C25:G25">
    <cfRule type="expression" dxfId="1644" priority="243" stopIfTrue="1">
      <formula>OR($C25="geopoint", $C25="geoshape", $C25="geotrace")</formula>
    </cfRule>
    <cfRule type="expression" dxfId="1643" priority="244" stopIfTrue="1">
      <formula>OR(AND(LEFT($C25, 16)="select_multiple ", LEN($C25)&gt;16, NOT(ISNUMBER(SEARCH(" ", $C25, 17)))), AND(LEFT($C25, 11)="select_one ", LEN($C25)&gt;11, NOT(ISNUMBER(SEARCH(" ", $C25, 12)))))</formula>
    </cfRule>
    <cfRule type="expression" dxfId="1642" priority="245" stopIfTrue="1">
      <formula>$C25="decimal"</formula>
    </cfRule>
    <cfRule type="expression" dxfId="1641" priority="246" stopIfTrue="1">
      <formula>$C25="integer"</formula>
    </cfRule>
    <cfRule type="expression" dxfId="1640" priority="247" stopIfTrue="1">
      <formula>$C25="begin repeat"</formula>
    </cfRule>
  </conditionalFormatting>
  <conditionalFormatting sqref="C27:G31 O87:U91 I89:N91 I92:U96 Q161:Q170 O171:Q171 O178:Q178 Q179:Q180 P209:Q210 D11:E11 F11:G12 C12:E12 D82:G84 Q172:Q177">
    <cfRule type="expression" dxfId="1639" priority="250" stopIfTrue="1">
      <formula>$C11="image"</formula>
    </cfRule>
  </conditionalFormatting>
  <conditionalFormatting sqref="C28:G28">
    <cfRule type="expression" dxfId="1638" priority="249" stopIfTrue="1">
      <formula>$C28="begin group"</formula>
    </cfRule>
  </conditionalFormatting>
  <conditionalFormatting sqref="C45:G59 L221:L227">
    <cfRule type="expression" dxfId="1637" priority="280" stopIfTrue="1">
      <formula>OR($C45="date", $C45="datetime")</formula>
    </cfRule>
  </conditionalFormatting>
  <conditionalFormatting sqref="C153:G158">
    <cfRule type="expression" dxfId="1636" priority="99" stopIfTrue="1">
      <formula>$C153="text"</formula>
    </cfRule>
    <cfRule type="expression" dxfId="1635" priority="100" stopIfTrue="1">
      <formula>$C153="end repeat"</formula>
    </cfRule>
  </conditionalFormatting>
  <conditionalFormatting sqref="C160:G165 C169:G180 C167:G167">
    <cfRule type="expression" dxfId="1634" priority="254" stopIfTrue="1">
      <formula>OR($C160="audio", $C160="video")</formula>
    </cfRule>
  </conditionalFormatting>
  <conditionalFormatting sqref="C162:G163 C165 C167:G167 C169:G169 C171:G180 C183:G183 N504 N506 N512:N514 N579 N584:N585 N591:N592">
    <cfRule type="expression" dxfId="1633" priority="256" stopIfTrue="1">
      <formula>OR($C162="date", $C162="datetime")</formula>
    </cfRule>
    <cfRule type="expression" dxfId="1632" priority="257" stopIfTrue="1">
      <formula>OR($C162="calculate", $C162="calculate_here")</formula>
    </cfRule>
  </conditionalFormatting>
  <conditionalFormatting sqref="C162:G163 C165 C167:G167 C169:G169 C171:G180 J434:K434 N434 J445:K445 N445 I500 M500:N500 K512:K514 I520:K528 M520:N528 I530:K530 M530:N530">
    <cfRule type="expression" dxfId="1631" priority="260" stopIfTrue="1">
      <formula>$C162="end group"</formula>
    </cfRule>
  </conditionalFormatting>
  <conditionalFormatting sqref="C162:G163 C165 C167:G167 C169:G169 C171:G180 J434:K434 N434 J445:K445 N445 I500 M500:N500 K512:K514 I530:K530 M530:N530 I520:K528 M520:N528">
    <cfRule type="expression" dxfId="1630" priority="259" stopIfTrue="1">
      <formula>$C162="begin group"</formula>
    </cfRule>
  </conditionalFormatting>
  <conditionalFormatting sqref="C162:G163 C165 C167:G167 C169:G169 C171:G180 N434 N445 M530:N530 M500:N500 K512:K514 J434:K434 J445:K445 I500 I530:K530">
    <cfRule type="expression" dxfId="1629" priority="258" stopIfTrue="1">
      <formula>$C162="begin repeat"</formula>
    </cfRule>
  </conditionalFormatting>
  <conditionalFormatting sqref="C162:G163 C165 C167:G167 C169:G169 C171:G180 N579 N584:N585 N591:N592 C183:G183 N504 N506 N512:N514">
    <cfRule type="expression" dxfId="1628" priority="255" stopIfTrue="1">
      <formula>$C162="image"</formula>
    </cfRule>
  </conditionalFormatting>
  <conditionalFormatting sqref="C162:G163 C167:G167 C169:G169 C171:G180 C165 H162:H180 D321:I321 D542:I542">
    <cfRule type="expression" dxfId="1627" priority="264" stopIfTrue="1">
      <formula>$C162="text"</formula>
    </cfRule>
  </conditionalFormatting>
  <conditionalFormatting sqref="C162:G163 C167:G167 C169:G169 C171:G180">
    <cfRule type="expression" dxfId="1626" priority="261" stopIfTrue="1">
      <formula>$C162="note"</formula>
    </cfRule>
    <cfRule type="expression" dxfId="1625" priority="262" stopIfTrue="1">
      <formula>$C162="barcode"</formula>
    </cfRule>
    <cfRule type="expression" dxfId="1624" priority="263" stopIfTrue="1">
      <formula>OR($C162="geopoint", $C162="geoshape", $C162="geotrace")</formula>
    </cfRule>
  </conditionalFormatting>
  <conditionalFormatting sqref="C162:G163 H162:H180 C165 C167:G167 C169:G169 C171:G180 D321:I321 D542:I542">
    <cfRule type="expression" dxfId="1623" priority="265" stopIfTrue="1">
      <formula>$C162="end repeat"</formula>
    </cfRule>
  </conditionalFormatting>
  <conditionalFormatting sqref="C183:G183 C189:G189 Q245 I250 M250:N250 K271:K278 N271:N278">
    <cfRule type="expression" dxfId="1622" priority="267" stopIfTrue="1">
      <formula>$C183="end repeat"</formula>
    </cfRule>
    <cfRule type="expression" dxfId="1621" priority="268" stopIfTrue="1">
      <formula>$C183="begin repeat"</formula>
    </cfRule>
  </conditionalFormatting>
  <conditionalFormatting sqref="C183:G183 C189:G189">
    <cfRule type="expression" dxfId="1620" priority="269" stopIfTrue="1">
      <formula>$C183="integer"</formula>
    </cfRule>
  </conditionalFormatting>
  <conditionalFormatting sqref="C183:G183 I250 C189:G189 Q245 M250:N250 K271:K278">
    <cfRule type="expression" dxfId="1619" priority="266" stopIfTrue="1">
      <formula>$C183="text"</formula>
    </cfRule>
  </conditionalFormatting>
  <conditionalFormatting sqref="C183:G183">
    <cfRule type="expression" dxfId="1618" priority="270" stopIfTrue="1">
      <formula>$C183="decimal"</formula>
    </cfRule>
  </conditionalFormatting>
  <conditionalFormatting sqref="C189:G192 L250:M250 K434 N434 K445 N445 P422:Q423 N423 K423">
    <cfRule type="expression" dxfId="1617" priority="271" stopIfTrue="1">
      <formula>OR($C189="audio", $C189="video")</formula>
    </cfRule>
  </conditionalFormatting>
  <conditionalFormatting sqref="C189:G192 L250:M250 P422:Q423 K423 N423 K434 N434 K445 N445">
    <cfRule type="expression" dxfId="1616" priority="272" stopIfTrue="1">
      <formula>$C189="image"</formula>
    </cfRule>
    <cfRule type="expression" dxfId="1615" priority="273" stopIfTrue="1">
      <formula>OR($C189="date", $C189="datetime")</formula>
    </cfRule>
    <cfRule type="expression" dxfId="1614" priority="274" stopIfTrue="1">
      <formula>OR($C189="calculate", $C189="calculate_here")</formula>
    </cfRule>
  </conditionalFormatting>
  <conditionalFormatting sqref="C191:G192 I597:K597 M597:N597">
    <cfRule type="expression" dxfId="1613" priority="276" stopIfTrue="1">
      <formula>$C191="barcode"</formula>
    </cfRule>
  </conditionalFormatting>
  <conditionalFormatting sqref="C191:G192 I597:K597">
    <cfRule type="expression" dxfId="1612" priority="275" stopIfTrue="1">
      <formula>$C191="note"</formula>
    </cfRule>
  </conditionalFormatting>
  <conditionalFormatting sqref="C201:G233 C40:G69 C71:G81">
    <cfRule type="expression" dxfId="1611" priority="572" stopIfTrue="1">
      <formula>$C40="begin group"</formula>
    </cfRule>
  </conditionalFormatting>
  <conditionalFormatting sqref="C201:G233 E11:E12 G11:U12 E14:E28 F14:G31 C29:E31 C33:U38 C40:G69 E71:U84 C110:K110 C111:U115 C117:U130 K245:Q245 J245:K270 O246:Q247 L246:N270 P248:Q248 O248:P256 L249:O256 Q249:Q256 L270:L278 I271:Q278 R314 R546:U549 H616:U623 C648:U652 F160:G180 C162:E180 E160:E161 E654:U656 C194:K194 M194:U194 C195:U198 C634:U646 R667 H86:U86 E86:G96 H87:K91 H92:U96 D98:U103 C105:U108 M110:U110 C132:K132 M132:U132 C133:U137 C139:G151 E153:K153 M153:U153 E154:U158 E189:G192 H324:U328 J329:N404 O329:Q421 H329:I468 R329:U468 J405:K468 O424:Q468 L446:N468 H469:U469 C530:L530 O530:U530 C532:U534 C536:K536 N536:U536 H545:U545 O546:Q575 M546:N578 L548:L549 C609:K609 C611:K612 C614:U614 C659:U665 C689:U689 R609:U609 R611:U612 M182:U182 C182:E182 G182:K182">
    <cfRule type="expression" dxfId="1610" priority="438" stopIfTrue="1">
      <formula>OR($C11="audio audit", $C11="text audit", $C11="speed violations count", $C11="speed violations list", $C11="speed violations audit")</formula>
    </cfRule>
  </conditionalFormatting>
  <conditionalFormatting sqref="C202:G202">
    <cfRule type="expression" dxfId="1609" priority="278" stopIfTrue="1">
      <formula>OR($C202="calculate", $C202="calculate_here")</formula>
    </cfRule>
    <cfRule type="expression" dxfId="1608" priority="279" stopIfTrue="1">
      <formula>$C202="end repeat"</formula>
    </cfRule>
  </conditionalFormatting>
  <conditionalFormatting sqref="C202:G233">
    <cfRule type="expression" dxfId="1607" priority="277" stopIfTrue="1">
      <formula>OR($C202="date", $C202="datetime")</formula>
    </cfRule>
  </conditionalFormatting>
  <conditionalFormatting sqref="C203:G233 L221:L227 C50:G53">
    <cfRule type="expression" dxfId="1606" priority="251" stopIfTrue="1">
      <formula>OR($C50="calculate", $C50="calculate_here")</formula>
    </cfRule>
  </conditionalFormatting>
  <conditionalFormatting sqref="C210:G215 C221:G226 H201 H203:H233 L218 O221:O226 C238:H238">
    <cfRule type="expression" dxfId="1605" priority="568" stopIfTrue="1">
      <formula>$C201="begin group"</formula>
    </cfRule>
  </conditionalFormatting>
  <conditionalFormatting sqref="C238:G238">
    <cfRule type="expression" dxfId="1604" priority="281" stopIfTrue="1">
      <formula>OR($C238="geopoint", $C238="geoshape", $C238="geotrace")</formula>
    </cfRule>
    <cfRule type="expression" dxfId="1603" priority="282" stopIfTrue="1">
      <formula>OR($C238="audio audit", $C238="text audit", $C238="speed violations count", $C238="speed violations list", $C238="speed violations audit")</formula>
    </cfRule>
    <cfRule type="expression" dxfId="1602" priority="283" stopIfTrue="1">
      <formula>OR($C238="username", $C238="phonenumber", $C238="start", $C238="end", $C238="deviceid", $C238="subscriberid", $C238="simserial", $C238="caseid")</formula>
    </cfRule>
    <cfRule type="expression" dxfId="1601" priority="284" stopIfTrue="1">
      <formula>OR(AND(LEFT($C238, 16)="select_multiple ", LEN($C238)&gt;16, NOT(ISNUMBER(SEARCH(" ", $C238, 17)))), AND(LEFT($C238, 11)="select_one ", LEN($C238)&gt;11, NOT(ISNUMBER(SEARCH(" ", $C238, 12)))))</formula>
    </cfRule>
    <cfRule type="expression" dxfId="1600" priority="285" stopIfTrue="1">
      <formula>$C238="decimal"</formula>
    </cfRule>
    <cfRule type="expression" dxfId="1599" priority="286" stopIfTrue="1">
      <formula>$C238="integer"</formula>
    </cfRule>
    <cfRule type="expression" dxfId="1598" priority="287" stopIfTrue="1">
      <formula>$C238="text"</formula>
    </cfRule>
    <cfRule type="expression" dxfId="1597" priority="288" stopIfTrue="1">
      <formula>$C238="end repeat"</formula>
    </cfRule>
  </conditionalFormatting>
  <conditionalFormatting sqref="C244:G296 R244:U296 I282:Q282 C200:G242 H200:U201 M314:U314 C98:C103 H203:U242 R546:U607 R616:U623 L648 C298:U312 F182:F187 E183:E187 G183:G187 I245:Q280 N498:N528 I500:K528 M501:M528 L550:L601 M599:N601 H184:U187 I284:Q295 D314:F314 H314:K314 G314:G320 G322 L497:L528 C545:G607 H550:H607 O593:Q601 I599:K601 I602:Q607 C616:G623 C625:O625 Q625:U628 C626:K626 M626:O626 C627:O628 C184:D187">
    <cfRule type="expression" dxfId="1596" priority="418" stopIfTrue="1">
      <formula>$C98="barcode"</formula>
    </cfRule>
  </conditionalFormatting>
  <conditionalFormatting sqref="C290:G295 C634:G646">
    <cfRule type="expression" dxfId="1595" priority="291" stopIfTrue="1">
      <formula>$C290="end repeat"</formula>
    </cfRule>
  </conditionalFormatting>
  <conditionalFormatting sqref="C290:G295 C645:G646">
    <cfRule type="expression" dxfId="1594" priority="290" stopIfTrue="1">
      <formula>$C290="decimal"</formula>
    </cfRule>
  </conditionalFormatting>
  <conditionalFormatting sqref="C290:G295 H645 C645:G646">
    <cfRule type="expression" dxfId="1593" priority="289" stopIfTrue="1">
      <formula>$C290="begin repeat"</formula>
    </cfRule>
  </conditionalFormatting>
  <conditionalFormatting sqref="C299:G300 K302 N302 L328:L402 C162:H180">
    <cfRule type="expression" dxfId="1592" priority="309" stopIfTrue="1">
      <formula>OR(AND(LEFT($C162, 16)="select_multiple ", LEN($C162)&gt;16, NOT(ISNUMBER(SEARCH(" ", $C162, 17)))), AND(LEFT($C162, 11)="select_one ", LEN($C162)&gt;11, NOT(ISNUMBER(SEARCH(" ", $C162, 12)))))</formula>
    </cfRule>
  </conditionalFormatting>
  <conditionalFormatting sqref="C299:G300 K302 N302 L328:L402">
    <cfRule type="expression" dxfId="1591" priority="308" stopIfTrue="1">
      <formula>$C299="decimal"</formula>
    </cfRule>
  </conditionalFormatting>
  <conditionalFormatting sqref="C87:H96">
    <cfRule type="expression" dxfId="1590" priority="293" stopIfTrue="1">
      <formula>$C87="image"</formula>
    </cfRule>
    <cfRule type="expression" dxfId="1589" priority="294" stopIfTrue="1">
      <formula>OR($C87="date", $C87="datetime")</formula>
    </cfRule>
  </conditionalFormatting>
  <conditionalFormatting sqref="C161:H161">
    <cfRule type="expression" dxfId="1588" priority="295" stopIfTrue="1">
      <formula>$C161="note"</formula>
    </cfRule>
    <cfRule type="expression" dxfId="1587" priority="296" stopIfTrue="1">
      <formula>$C161="barcode"</formula>
    </cfRule>
    <cfRule type="expression" dxfId="1586" priority="297" stopIfTrue="1">
      <formula>OR($C161="geopoint", $C161="geoshape", $C161="geotrace")</formula>
    </cfRule>
    <cfRule type="expression" dxfId="1585" priority="298" stopIfTrue="1">
      <formula>OR($C161="audio audit", $C161="text audit", $C161="speed violations count", $C161="speed violations list", $C161="speed violations audit")</formula>
    </cfRule>
    <cfRule type="expression" dxfId="1584" priority="299" stopIfTrue="1">
      <formula>OR($C161="username", $C161="phonenumber", $C161="start", $C161="end", $C161="deviceid", $C161="subscriberid", $C161="simserial", $C161="caseid")</formula>
    </cfRule>
    <cfRule type="expression" dxfId="1583" priority="300" stopIfTrue="1">
      <formula>OR(AND(LEFT($C161, 16)="select_multiple ", LEN($C161)&gt;16, NOT(ISNUMBER(SEARCH(" ", $C161, 17)))), AND(LEFT($C161, 11)="select_one ", LEN($C161)&gt;11, NOT(ISNUMBER(SEARCH(" ", $C161, 12)))))</formula>
    </cfRule>
    <cfRule type="expression" dxfId="1582" priority="302" stopIfTrue="1">
      <formula>$C161="integer"</formula>
    </cfRule>
    <cfRule type="expression" dxfId="1581" priority="303" stopIfTrue="1">
      <formula>$C161="text"</formula>
    </cfRule>
    <cfRule type="expression" dxfId="1580" priority="304" stopIfTrue="1">
      <formula>$C161="end repeat"</formula>
    </cfRule>
    <cfRule type="expression" dxfId="1579" priority="305" stopIfTrue="1">
      <formula>$C161="begin repeat"</formula>
    </cfRule>
    <cfRule type="expression" dxfId="1578" priority="306" stopIfTrue="1">
      <formula>$C161="end group"</formula>
    </cfRule>
    <cfRule type="expression" dxfId="1577" priority="307" stopIfTrue="1">
      <formula>$C161="begin group"</formula>
    </cfRule>
  </conditionalFormatting>
  <conditionalFormatting sqref="C161:H180">
    <cfRule type="expression" dxfId="1576" priority="301" stopIfTrue="1">
      <formula>$C161="decimal"</formula>
    </cfRule>
  </conditionalFormatting>
  <conditionalFormatting sqref="C162:H180">
    <cfRule type="expression" dxfId="1575" priority="310" stopIfTrue="1">
      <formula>OR($C162="username", $C162="phonenumber", $C162="start", $C162="end", $C162="deviceid", $C162="subscriberid", $C162="simserial", $C162="caseid")</formula>
    </cfRule>
    <cfRule type="expression" dxfId="1574" priority="311" stopIfTrue="1">
      <formula>$C162="integer"</formula>
    </cfRule>
  </conditionalFormatting>
  <conditionalFormatting sqref="C183:H183 C189:H189 N245">
    <cfRule type="expression" dxfId="1573" priority="313" stopIfTrue="1">
      <formula>OR($C183="username", $C183="phonenumber", $C183="start", $C183="end", $C183="deviceid", $C183="subscriberid", $C183="simserial", $C183="caseid")</formula>
    </cfRule>
    <cfRule type="expression" dxfId="1572" priority="314" stopIfTrue="1">
      <formula>OR(AND(LEFT($C183, 16)="select_multiple ", LEN($C183)&gt;16, NOT(ISNUMBER(SEARCH(" ", $C183, 17)))), AND(LEFT($C183, 11)="select_one ", LEN($C183)&gt;11, NOT(ISNUMBER(SEARCH(" ", $C183, 12)))))</formula>
    </cfRule>
  </conditionalFormatting>
  <conditionalFormatting sqref="C183:H183 C189:H189">
    <cfRule type="expression" dxfId="1571" priority="315" stopIfTrue="1">
      <formula>OR($C183="geopoint", $C183="geoshape", $C183="geotrace")</formula>
    </cfRule>
  </conditionalFormatting>
  <conditionalFormatting sqref="C183:H183">
    <cfRule type="expression" dxfId="1570" priority="316" stopIfTrue="1">
      <formula>$C183="barcode"</formula>
    </cfRule>
  </conditionalFormatting>
  <conditionalFormatting sqref="C189:H189 C183:H183 N245">
    <cfRule type="expression" dxfId="1569" priority="312" stopIfTrue="1">
      <formula>OR($C183="audio audit", $C183="text audit", $C183="speed violations count", $C183="speed violations list", $C183="speed violations audit")</formula>
    </cfRule>
  </conditionalFormatting>
  <conditionalFormatting sqref="C200:H200">
    <cfRule type="expression" dxfId="1568" priority="317" stopIfTrue="1">
      <formula>OR($C200="date", $C200="datetime")</formula>
    </cfRule>
    <cfRule type="expression" dxfId="1567" priority="318" stopIfTrue="1">
      <formula>OR($C200="calculate", $C200="calculate_here")</formula>
    </cfRule>
    <cfRule type="expression" dxfId="1566" priority="319" stopIfTrue="1">
      <formula>OR($C200="geopoint", $C200="geoshape", $C200="geotrace")</formula>
    </cfRule>
    <cfRule type="expression" dxfId="1565" priority="320" stopIfTrue="1">
      <formula>OR($C200="audio audit", $C200="text audit", $C200="speed violations count", $C200="speed violations list", $C200="speed violations audit")</formula>
    </cfRule>
    <cfRule type="expression" dxfId="1564" priority="321" stopIfTrue="1">
      <formula>OR(AND(LEFT($C200, 16)="select_multiple ", LEN($C200)&gt;16, NOT(ISNUMBER(SEARCH(" ", $C200, 17)))), AND(LEFT($C200, 11)="select_one ", LEN($C200)&gt;11, NOT(ISNUMBER(SEARCH(" ", $C200, 12)))))</formula>
    </cfRule>
    <cfRule type="expression" dxfId="1563" priority="322" stopIfTrue="1">
      <formula>$C200="decimal"</formula>
    </cfRule>
    <cfRule type="expression" dxfId="1562" priority="323" stopIfTrue="1">
      <formula>$C200="integer"</formula>
    </cfRule>
    <cfRule type="expression" dxfId="1561" priority="324" stopIfTrue="1">
      <formula>$C200="begin repeat"</formula>
    </cfRule>
    <cfRule type="expression" dxfId="1560" priority="325" stopIfTrue="1">
      <formula>$C200="end group"</formula>
    </cfRule>
    <cfRule type="expression" dxfId="1559" priority="326" stopIfTrue="1">
      <formula>$C200="begin group"</formula>
    </cfRule>
  </conditionalFormatting>
  <conditionalFormatting sqref="C200:H201 C299:G300 H203:H204">
    <cfRule type="expression" dxfId="1558" priority="327" stopIfTrue="1">
      <formula>OR($C200="username", $C200="phonenumber", $C200="start", $C200="end", $C200="deviceid", $C200="subscriberid", $C200="simserial", $C200="caseid")</formula>
    </cfRule>
  </conditionalFormatting>
  <conditionalFormatting sqref="C202:H202 J202:Q202">
    <cfRule type="expression" dxfId="1557" priority="328" stopIfTrue="1">
      <formula>$C202="text"</formula>
    </cfRule>
  </conditionalFormatting>
  <conditionalFormatting sqref="C634:H646">
    <cfRule type="expression" dxfId="1556" priority="330" stopIfTrue="1">
      <formula>$C634="text"</formula>
    </cfRule>
  </conditionalFormatting>
  <conditionalFormatting sqref="C132:K132 C110:K110 C111:U115 E1 C98:U103 C184:G187 C244:G296 L497:L519 M501:Q519 O520:Q520 C117:U130 E654:U656 E11:E12 G11:U12 C14:E21 F14:G31 E19:E31 C33:U38 E40:U69 E71:U84 C86:U86 C105:U108 M110:U110 M132:U132 C133:U137 C139:G151 E153:K153 M153:U153 E154:U158 E160:G180 E182:K182 M182:U182 E183:U187 E189:U192 R194 E203:E233 I203:N235 R203:U235 F203:G242 O211:Q235 C234:E242 H236:U237 I238:U238 H239:U242 R244:U281 H245:Q247 O248:P248 H248:N280 O257:Q280 H282:U282 R283:U296 H284:Q295 N298:N302 C298:M312 O298:U312 L303:N312 C314:F314 H314:K314 M314:U314 G314:G320 G322 H324:U328 O329:Q421 I329:N422 H329:H468 R329:U468 N422:N468 I423:K468 L424:M468 O424:Q468 H469:U469 H520:N528 C530:H530 L530 R530:U530 C532:U534 C536:K536 M536:O536 Q536:U536 H545:U545 C545:G601 H546:Q549 R546:U601 O550:Q575 I550:N578 H550:H601 L550:L601 O593:Q601 I599:K601 M599:N601 C602:U607 C609:U609 C611:U612 C614:U614 J616:N617 O616:Q619 C616:I623 R616:U623 J618:K622 M618:N622 N620:O620 Q620 O621:Q621 N622:O622 Q622 J623:Q623 C625:O625 Q625:U628 C626:K626 M626:O626 C627:O628 C634:U646 C648:U652 C659:U665 C689:U689 C153:C155 H501:K519">
    <cfRule type="expression" dxfId="1555" priority="88" stopIfTrue="1">
      <formula>$C1="image"</formula>
    </cfRule>
  </conditionalFormatting>
  <conditionalFormatting sqref="C153:K153 C154:U158 M153:U153">
    <cfRule type="expression" dxfId="1554" priority="93" stopIfTrue="1">
      <formula>$C153="barcode"</formula>
    </cfRule>
  </conditionalFormatting>
  <conditionalFormatting sqref="C194:K194 C195:N198 M194:N194">
    <cfRule type="expression" dxfId="1553" priority="130" stopIfTrue="1">
      <formula>$C194="text"</formula>
    </cfRule>
  </conditionalFormatting>
  <conditionalFormatting sqref="C194:K194 C195:U198 M194:U194">
    <cfRule type="expression" dxfId="1552" priority="124" stopIfTrue="1">
      <formula>$C194="barcode"</formula>
    </cfRule>
  </conditionalFormatting>
  <conditionalFormatting sqref="C194:K194 M194:N194 C195:N198">
    <cfRule type="expression" dxfId="1551" priority="131" stopIfTrue="1">
      <formula>$C194="end repeat"</formula>
    </cfRule>
  </conditionalFormatting>
  <conditionalFormatting sqref="C194:K194 M194:U194 C195:U198 R314 R640 R667">
    <cfRule type="expression" dxfId="1550" priority="333" stopIfTrue="1">
      <formula>$C194="image"</formula>
    </cfRule>
    <cfRule type="expression" dxfId="1549" priority="334" stopIfTrue="1">
      <formula>$C194="note"</formula>
    </cfRule>
  </conditionalFormatting>
  <conditionalFormatting sqref="C14:U31 P209:Q210 D11:E11 E11:U12 C12:E12 C33:U38 C40:U69 D82:G84 D110:E114 C115:E115">
    <cfRule type="expression" dxfId="1548" priority="421" stopIfTrue="1">
      <formula>$C11="comments"</formula>
    </cfRule>
  </conditionalFormatting>
  <conditionalFormatting sqref="C200:U202">
    <cfRule type="expression" dxfId="1547" priority="335" stopIfTrue="1">
      <formula>$C200="image"</formula>
    </cfRule>
  </conditionalFormatting>
  <conditionalFormatting sqref="C202:U202">
    <cfRule type="expression" dxfId="1546" priority="336" stopIfTrue="1">
      <formula>$C202="comments"</formula>
    </cfRule>
  </conditionalFormatting>
  <conditionalFormatting sqref="C634:U646 H202:U202 E189:U192 E160:G180 H328:U328 K329:N404 E86:G96 C40:U69 H329:K468 O329:U468 N445:N468 C530:L530 N530:U530 E11:E12 G11:U12 E14:H31 E71:U84 D153:K153 D154:U158 R194 L405:L468 M446:M468 H469:U469 C532:U534 C609:U609 C611:U612 E654:U656 H546:Q549 C648:U652 C33:U38 H86:U86 C98:U103 C105:U108 E110:K110 M110:U110 E111:U115 E132:K132 M132:U132 E133:U137 M153:U153 C536:K536 C659:U665 E1 C324:E327 C328:D469 C117:G130 H124:U124 I125:U128 H129:U130 C139:G151 H545:U545 C614:U614 M616:M619 N616:Q620 R616:U623 M620:N622 O621:Q621 N622:Q622 L623:Q623 C689:U689">
    <cfRule type="expression" dxfId="1545" priority="331" stopIfTrue="1">
      <formula>$C1="note"</formula>
    </cfRule>
  </conditionalFormatting>
  <conditionalFormatting sqref="C648:U652 A10 D11:E11 G11:U12 C12:E12 C14:U31 C33:U38 C40:U69 E71:E81 F71:U84 D82:E84 H86:U86 C86:G96 H87:H91 I87:U96 C98:U103 C105:U108 F110:K110 M110:U110 D110:E114 F111:U115 C115:E115 C117:U130 D132:K132 M132:U132 C133:U137 C139:G151 I139:U151 D153:K153 M153:U153 D154:U158 H160:U160 E160:G180 Q161:Q170 I161:N180 R161:U180 O171:Q171 Q172:Q177 O178:Q178 Q179:Q180 C182:K182 M182:U182 C183:U187 E189:U192 D194:K194 M194:U194 D195:U198 H200:U202 C200:E237 F200:G238 O203:Q208 I203:N235 R203:U236 P209:Q210 O211:Q235 H236:P236 E237:E239 H237:U242 C238:G242 O244:Q247 I244:N280 R244:U280 C244:G296 H245:H280 O248:P248 O257:Q280 I281:U281 H282:U282 I283:U296 H284:H295 C298:U312 D314:F314 H314:K314 M314:U314 G314:G320 G322 H324:U328 O329:Q421 K329:N422 H329:K468 R329:U468 L405:L468 O422 M423:O423 M424:Q468 H469:U469 M470:Q477 M498:N499 K500:N500 M501:N519 H520:N528 C530:U530 C532:U534 C536:K536 M536:U536 H545:U545 C545:G601 H546:Q549 R546:U601 O550:Q575 L550:N578 H550:L601 O576:O578 P576:Q579 N579:O579 M579:N601 O580:Q583 N584:Q585 O586:Q590 N591:Q592 O593:Q601 C602:U607 C609:U609 C611:U612 C614:U614 L616:O617 P616:Q618 C616:L623 R616:U623 N618:O618 M618:N622 O619:Q619 N620:Q620 O621:Q621 N622:Q622 L623:Q623 C625:U625 C626:K626 M626:U626 C627:U628 C634:U646 D654:E655 F654:U656 C656:E656 C659:U665 R667 C689:U689">
    <cfRule type="expression" dxfId="1544" priority="6" stopIfTrue="1">
      <formula>OR($C10="audio", $C10="video")</formula>
    </cfRule>
  </conditionalFormatting>
  <conditionalFormatting sqref="D11:E11 F11:G12 C12:E12 C27:G28 D82:G84 O87:U91 L89:N91 I160:U180 O203:Q209 Q210 H14:U31 H40:U69 L87:M88 I139:U151 I183:U183 I189:U192 C190:H192 H202:U202 N424:N445 M424:M468 L597:L599 M598:M599 L609:Q609 L611:Q612 C86:G96 C160:H160 M405:N423 L469:M472 M530:N530 E534:G534 L550:L578 O576:O579 L579:N596 D654:E655 F654:G656 C656:E656 C153:G158 R194 L405:L468 O422:P423">
    <cfRule type="expression" dxfId="1543" priority="253" stopIfTrue="1">
      <formula>OR($C11="audio audit", $C11="text audit", $C11="speed violations count", $C11="speed violations list", $C11="speed violations audit")</formula>
    </cfRule>
  </conditionalFormatting>
  <conditionalFormatting sqref="D11:E11 G11:U11 C12:E12 G12 R12:U12 C14:E24 F14:G31 R14:U31 E25 C26:E31 O26:Q31 C33:G38 O33:U38 C40:D44 E40:E59 F40:G69 H45:H69 C60:E69 C71:E81 E71:U84 C86:U86 D98:U103 C105:U108 E110:K110 M110:U110 E111:U115 C117:U130 E132:K132 M132:U132 E133:U137 C139:G151 D153:K153 M153:U153 D154:U158 H160 E160:G180 C164:E164 D165:E165 C166:E166 G166:H166 C168:E168 G168:H168 C170:E170 D182:E182 G182:K182 M182:U182 F182:F187 E183:E187 G183:G187 D184:D187 H184:U187 E189:U192 D194:K194 M194:U194 D195:U198 I200:U201 E200:E235 F200:G238 C201:E201 H201 H202:U202 H203:H234 I203:N236 R203:U236 O209:P209 P209:Q210 O210 O211:Q227 O234:Q235 C234:E238 H236 O236:P236 H237:U237 E237:E239 I238:U238 G238:G241 C239:U242 I244:Q244 R244:U280 C244:G296 L245:N245 O245:Q247 H245:K280 N245:N280 L246:M280 O248:P248 P248:Q256 O249:O256 O257:Q280 I281:U281 H282:U282 I283:U283 H284:U295 I296:U296 C298:U312 D314:F314 H314:K314 M314:U314 G314:G320 G322 H324:N326 R324:U326 H327:U328 O329:Q421 I329:N422 H329:H468 R329:U468 I424:N468 O446:Q468 H469:U493 L497:L519 J501:K519 O501:Q519 I515:I519 M515:N519 H520:N528 C530:H530 L530 R530:U530 C532:U534 C536:K536 M536:N536 R536:U536 H545:U545 C545:G601 H546:Q549 R546:U607 O550:Q575 I550:N578 H550:H601 L550:L601 O593:Q601 I599:K601 M599:N601 C602:N607 C609:U609 C611:U612 C614:U614 I616:O617 P616:Q618 C616:H623 L616:L623 R616:U623 M618:O618 I618:K622 M619:Q622 I623:Q623 C625:U625 C626:K626 M626:U626 C627:U628 C634:U646 C648:U652 D654:E655 F654:U656 C656:E656 C659:U665 R667 C689:U689">
    <cfRule type="expression" dxfId="1542" priority="225" stopIfTrue="1">
      <formula>OR($C11="date", $C11="datetime")</formula>
    </cfRule>
  </conditionalFormatting>
  <conditionalFormatting sqref="D234:E235">
    <cfRule type="expression" dxfId="1541" priority="337" stopIfTrue="1">
      <formula>$C234="image"</formula>
    </cfRule>
    <cfRule type="expression" dxfId="1540" priority="338" stopIfTrue="1">
      <formula>OR($C234="date", $C234="datetime")</formula>
    </cfRule>
    <cfRule type="expression" dxfId="1539" priority="339" stopIfTrue="1">
      <formula>OR($C234="calculate", $C234="calculate_here")</formula>
    </cfRule>
    <cfRule type="expression" dxfId="1538" priority="340" stopIfTrue="1">
      <formula>OR($C234="geopoint", $C234="geoshape", $C234="geotrace")</formula>
    </cfRule>
    <cfRule type="expression" dxfId="1537" priority="341" stopIfTrue="1">
      <formula>OR($C234="audio audit", $C234="text audit", $C234="speed violations count", $C234="speed violations list", $C234="speed violations audit")</formula>
    </cfRule>
    <cfRule type="expression" dxfId="1536" priority="342" stopIfTrue="1">
      <formula>OR($C234="username", $C234="phonenumber", $C234="start", $C234="end", $C234="deviceid", $C234="subscriberid", $C234="simserial", $C234="caseid")</formula>
    </cfRule>
    <cfRule type="expression" dxfId="1535" priority="343" stopIfTrue="1">
      <formula>OR(AND(LEFT($C234, 16)="select_multiple ", LEN($C234)&gt;16, NOT(ISNUMBER(SEARCH(" ", $C234, 17)))), AND(LEFT($C234, 11)="select_one ", LEN($C234)&gt;11, NOT(ISNUMBER(SEARCH(" ", $C234, 12)))))</formula>
    </cfRule>
    <cfRule type="expression" dxfId="1534" priority="344" stopIfTrue="1">
      <formula>$C234="decimal"</formula>
    </cfRule>
    <cfRule type="expression" dxfId="1533" priority="345" stopIfTrue="1">
      <formula>$C234="integer"</formula>
    </cfRule>
    <cfRule type="expression" dxfId="1532" priority="346" stopIfTrue="1">
      <formula>$C234="text"</formula>
    </cfRule>
    <cfRule type="expression" dxfId="1531" priority="347" stopIfTrue="1">
      <formula>$C234="end repeat"</formula>
    </cfRule>
    <cfRule type="expression" dxfId="1530" priority="348" stopIfTrue="1">
      <formula>$C234="begin repeat"</formula>
    </cfRule>
    <cfRule type="expression" dxfId="1529" priority="349" stopIfTrue="1">
      <formula>$C234="end group"</formula>
    </cfRule>
    <cfRule type="expression" dxfId="1528" priority="350" stopIfTrue="1">
      <formula>$C234="begin group"</formula>
    </cfRule>
  </conditionalFormatting>
  <conditionalFormatting sqref="D654:E655 C656:E656">
    <cfRule type="expression" dxfId="1527" priority="351" stopIfTrue="1">
      <formula>$C654="comments"</formula>
    </cfRule>
  </conditionalFormatting>
  <conditionalFormatting sqref="D161:G163">
    <cfRule type="expression" dxfId="1526" priority="352" stopIfTrue="1">
      <formula>#REF!="comments"</formula>
    </cfRule>
    <cfRule type="expression" dxfId="1525" priority="353" stopIfTrue="1">
      <formula>#REF!="image"</formula>
    </cfRule>
    <cfRule type="expression" dxfId="1524" priority="354" stopIfTrue="1">
      <formula>OR(#REF!="date", #REF!="datetime")</formula>
    </cfRule>
    <cfRule type="expression" dxfId="1523" priority="355" stopIfTrue="1">
      <formula>OR(#REF!="calculate", #REF!="calculate_here")</formula>
    </cfRule>
    <cfRule type="expression" dxfId="1522" priority="356" stopIfTrue="1">
      <formula>#REF!="note"</formula>
    </cfRule>
    <cfRule type="expression" dxfId="1521" priority="357" stopIfTrue="1">
      <formula>#REF!="barcode"</formula>
    </cfRule>
    <cfRule type="expression" dxfId="1520" priority="358" stopIfTrue="1">
      <formula>OR(#REF!="geopoint", #REF!="geoshape", #REF!="geotrace")</formula>
    </cfRule>
    <cfRule type="expression" dxfId="1519" priority="359" stopIfTrue="1">
      <formula>OR(#REF!="audio audit", #REF!="text audit", #REF!="speed violations count", #REF!="speed violations list", #REF!="speed violations audit")</formula>
    </cfRule>
    <cfRule type="expression" dxfId="1518" priority="360" stopIfTrue="1">
      <formula>OR(#REF!="username", #REF!="phonenumber", #REF!="start", #REF!="end", #REF!="deviceid", #REF!="subscriberid", #REF!="simserial", #REF!="caseid")</formula>
    </cfRule>
    <cfRule type="expression" dxfId="1517" priority="361" stopIfTrue="1">
      <formula>OR(AND(LEFT(#REF!, 16)="select_multiple ", LEN(#REF!)&gt;16, NOT(ISNUMBER(SEARCH(" ", #REF!, 17)))), AND(LEFT(#REF!, 11)="select_one ", LEN(#REF!)&gt;11, NOT(ISNUMBER(SEARCH(" ", #REF!, 12)))))</formula>
    </cfRule>
    <cfRule type="expression" dxfId="1516" priority="362" stopIfTrue="1">
      <formula>#REF!="decimal"</formula>
    </cfRule>
    <cfRule type="expression" dxfId="1515" priority="363" stopIfTrue="1">
      <formula>#REF!="integer"</formula>
    </cfRule>
    <cfRule type="expression" dxfId="1514" priority="364" stopIfTrue="1">
      <formula>#REF!="text"</formula>
    </cfRule>
    <cfRule type="expression" dxfId="1513" priority="365" stopIfTrue="1">
      <formula>#REF!="end repeat"</formula>
    </cfRule>
    <cfRule type="expression" dxfId="1512" priority="366" stopIfTrue="1">
      <formula>#REF!="begin repeat"</formula>
    </cfRule>
    <cfRule type="expression" dxfId="1511" priority="367" stopIfTrue="1">
      <formula>#REF!="end group"</formula>
    </cfRule>
    <cfRule type="expression" dxfId="1510" priority="368" stopIfTrue="1">
      <formula>#REF!="begin group"</formula>
    </cfRule>
  </conditionalFormatting>
  <conditionalFormatting sqref="D166:G169 H165:H168 N165:N168 L166:L168">
    <cfRule type="expression" dxfId="1509" priority="369" stopIfTrue="1">
      <formula>#REF!="comments"</formula>
    </cfRule>
  </conditionalFormatting>
  <conditionalFormatting sqref="D169:G169">
    <cfRule type="expression" dxfId="1508" priority="371" stopIfTrue="1">
      <formula>#REF!="image"</formula>
    </cfRule>
    <cfRule type="expression" dxfId="1507" priority="372" stopIfTrue="1">
      <formula>OR(#REF!="date", #REF!="datetime")</formula>
    </cfRule>
    <cfRule type="expression" dxfId="1506" priority="373" stopIfTrue="1">
      <formula>OR(#REF!="calculate", #REF!="calculate_here")</formula>
    </cfRule>
    <cfRule type="expression" dxfId="1505" priority="374" stopIfTrue="1">
      <formula>#REF!="note"</formula>
    </cfRule>
    <cfRule type="expression" dxfId="1504" priority="375" stopIfTrue="1">
      <formula>#REF!="barcode"</formula>
    </cfRule>
    <cfRule type="expression" dxfId="1503" priority="376" stopIfTrue="1">
      <formula>OR(#REF!="geopoint", #REF!="geoshape", #REF!="geotrace")</formula>
    </cfRule>
    <cfRule type="expression" dxfId="1502" priority="377" stopIfTrue="1">
      <formula>OR(#REF!="audio audit", #REF!="text audit", #REF!="speed violations count", #REF!="speed violations list", #REF!="speed violations audit")</formula>
    </cfRule>
    <cfRule type="expression" dxfId="1501" priority="378" stopIfTrue="1">
      <formula>OR(#REF!="username", #REF!="phonenumber", #REF!="start", #REF!="end", #REF!="deviceid", #REF!="subscriberid", #REF!="simserial", #REF!="caseid")</formula>
    </cfRule>
    <cfRule type="expression" dxfId="1500" priority="379" stopIfTrue="1">
      <formula>OR(AND(LEFT(#REF!, 16)="select_multiple ", LEN(#REF!)&gt;16, NOT(ISNUMBER(SEARCH(" ", #REF!, 17)))), AND(LEFT(#REF!, 11)="select_one ", LEN(#REF!)&gt;11, NOT(ISNUMBER(SEARCH(" ", #REF!, 12)))))</formula>
    </cfRule>
    <cfRule type="expression" dxfId="1499" priority="380" stopIfTrue="1">
      <formula>#REF!="decimal"</formula>
    </cfRule>
    <cfRule type="expression" dxfId="1498" priority="381" stopIfTrue="1">
      <formula>#REF!="integer"</formula>
    </cfRule>
    <cfRule type="expression" dxfId="1497" priority="382" stopIfTrue="1">
      <formula>#REF!="text"</formula>
    </cfRule>
    <cfRule type="expression" dxfId="1496" priority="383" stopIfTrue="1">
      <formula>#REF!="end repeat"</formula>
    </cfRule>
    <cfRule type="expression" dxfId="1495" priority="384" stopIfTrue="1">
      <formula>#REF!="begin repeat"</formula>
    </cfRule>
    <cfRule type="expression" dxfId="1494" priority="385" stopIfTrue="1">
      <formula>#REF!="end group"</formula>
    </cfRule>
    <cfRule type="expression" dxfId="1493" priority="386" stopIfTrue="1">
      <formula>#REF!="begin group"</formula>
    </cfRule>
  </conditionalFormatting>
  <conditionalFormatting sqref="D227:G227">
    <cfRule type="expression" dxfId="1492" priority="387" stopIfTrue="1">
      <formula>$C227="note"</formula>
    </cfRule>
    <cfRule type="expression" dxfId="1491" priority="388" stopIfTrue="1">
      <formula>$C227="barcode"</formula>
    </cfRule>
  </conditionalFormatting>
  <conditionalFormatting sqref="D279:G280 D282:G282">
    <cfRule type="expression" dxfId="1490" priority="389" stopIfTrue="1">
      <formula>OR($C279="calculate", $C279="calculate_here")</formula>
    </cfRule>
    <cfRule type="expression" dxfId="1489" priority="390" stopIfTrue="1">
      <formula>$C279="note"</formula>
    </cfRule>
    <cfRule type="expression" dxfId="1488" priority="391" stopIfTrue="1">
      <formula>$C279="barcode"</formula>
    </cfRule>
    <cfRule type="expression" dxfId="1487" priority="392" stopIfTrue="1">
      <formula>OR($C279="geopoint", $C279="geoshape", $C279="geotrace")</formula>
    </cfRule>
    <cfRule type="expression" dxfId="1486" priority="393" stopIfTrue="1">
      <formula>OR($C279="username", $C279="phonenumber", $C279="start", $C279="end", $C279="deviceid", $C279="subscriberid", $C279="simserial", $C279="caseid")</formula>
    </cfRule>
    <cfRule type="expression" dxfId="1485" priority="394" stopIfTrue="1">
      <formula>OR(AND(LEFT($C279, 16)="select_multiple ", LEN($C279)&gt;16, NOT(ISNUMBER(SEARCH(" ", $C279, 17)))), AND(LEFT($C279, 11)="select_one ", LEN($C279)&gt;11, NOT(ISNUMBER(SEARCH(" ", $C279, 12)))))</formula>
    </cfRule>
    <cfRule type="expression" dxfId="1484" priority="395" stopIfTrue="1">
      <formula>$C279="decimal"</formula>
    </cfRule>
    <cfRule type="expression" dxfId="1483" priority="396" stopIfTrue="1">
      <formula>$C279="integer"</formula>
    </cfRule>
    <cfRule type="expression" dxfId="1482" priority="397" stopIfTrue="1">
      <formula>$C279="text"</formula>
    </cfRule>
    <cfRule type="expression" dxfId="1481" priority="398" stopIfTrue="1">
      <formula>$C279="end repeat"</formula>
    </cfRule>
    <cfRule type="expression" dxfId="1480" priority="399" stopIfTrue="1">
      <formula>$C279="begin repeat"</formula>
    </cfRule>
    <cfRule type="expression" dxfId="1479" priority="400" stopIfTrue="1">
      <formula>$C279="end group"</formula>
    </cfRule>
    <cfRule type="expression" dxfId="1478" priority="401" stopIfTrue="1">
      <formula>$C279="begin group"</formula>
    </cfRule>
  </conditionalFormatting>
  <conditionalFormatting sqref="D279:G280 D282:U282">
    <cfRule type="expression" dxfId="1477" priority="402" stopIfTrue="1">
      <formula>OR($C279="audio audit", $C279="text audit", $C279="speed violations count", $C279="speed violations list", $C279="speed violations audit")</formula>
    </cfRule>
  </conditionalFormatting>
  <conditionalFormatting sqref="D321:U321 D542:U542 D631:U631">
    <cfRule type="expression" dxfId="1476" priority="403" stopIfTrue="1">
      <formula>$C321="image"</formula>
    </cfRule>
    <cfRule type="expression" dxfId="1475" priority="404" stopIfTrue="1">
      <formula>OR($C321="date", $C321="datetime")</formula>
    </cfRule>
    <cfRule type="expression" dxfId="1474" priority="405" stopIfTrue="1">
      <formula>OR(AND(LEFT($C321, 16)="select_multiple ", LEN($C321)&gt;16, NOT(ISNUMBER(SEARCH(" ", $C321, 17)))), AND(LEFT($C321, 11)="select_one ", LEN($C321)&gt;11, NOT(ISNUMBER(SEARCH(" ", $C321, 12)))))</formula>
    </cfRule>
    <cfRule type="expression" dxfId="1473" priority="406" stopIfTrue="1">
      <formula>OR($C321="calculate", $C321="calculate_here")</formula>
    </cfRule>
    <cfRule type="expression" dxfId="1472" priority="407" stopIfTrue="1">
      <formula>$C321="note"</formula>
    </cfRule>
    <cfRule type="expression" dxfId="1471" priority="408" stopIfTrue="1">
      <formula>$C321="barcode"</formula>
    </cfRule>
    <cfRule type="expression" dxfId="1470" priority="409" stopIfTrue="1">
      <formula>OR($C321="geopoint", $C321="geoshape", $C321="geotrace")</formula>
    </cfRule>
    <cfRule type="expression" dxfId="1469" priority="410" stopIfTrue="1">
      <formula>OR($C321="username", $C321="phonenumber", $C321="start", $C321="end", $C321="deviceid", $C321="subscriberid", $C321="simserial", $C321="caseid")</formula>
    </cfRule>
    <cfRule type="expression" dxfId="1468" priority="411" stopIfTrue="1">
      <formula>$C321="decimal"</formula>
    </cfRule>
    <cfRule type="expression" dxfId="1467" priority="412" stopIfTrue="1">
      <formula>$C321="integer"</formula>
    </cfRule>
    <cfRule type="expression" dxfId="1466" priority="413" stopIfTrue="1">
      <formula>$C321="begin repeat"</formula>
    </cfRule>
    <cfRule type="expression" dxfId="1465" priority="414" stopIfTrue="1">
      <formula>$C321="end group"</formula>
    </cfRule>
    <cfRule type="expression" dxfId="1464" priority="415" stopIfTrue="1">
      <formula>$C321="comments"</formula>
    </cfRule>
    <cfRule type="expression" dxfId="1463" priority="416" stopIfTrue="1">
      <formula>OR($C321="audio", $C321="video")</formula>
    </cfRule>
    <cfRule type="expression" dxfId="1462" priority="417" stopIfTrue="1">
      <formula>OR($C321="audio audit", $C321="text audit", $C321="speed violations count", $C321="speed violations list", $C321="speed violations audit")</formula>
    </cfRule>
  </conditionalFormatting>
  <conditionalFormatting sqref="E1:F12 C314 H478:L519 O478:Q520 G1:G10 I1:Q10 C2:D10 H2:H10 R2:U10 C324:G476 H470:L476 R470:U528 C477:L477 M478:M497 N478:N498 C478:G528">
    <cfRule type="expression" dxfId="1461" priority="104" stopIfTrue="1">
      <formula>OR($C1="audio", $C1="video")</formula>
    </cfRule>
  </conditionalFormatting>
  <conditionalFormatting sqref="E120:H123">
    <cfRule type="expression" dxfId="1460" priority="420" stopIfTrue="1">
      <formula>$C120="comments"</formula>
    </cfRule>
  </conditionalFormatting>
  <conditionalFormatting sqref="F203:F235">
    <cfRule type="expression" dxfId="1459" priority="422" stopIfTrue="1">
      <formula>$C203="text"</formula>
    </cfRule>
  </conditionalFormatting>
  <conditionalFormatting sqref="F228:F233">
    <cfRule type="expression" dxfId="1458" priority="423" stopIfTrue="1">
      <formula>$C228="integer"</formula>
    </cfRule>
    <cfRule type="expression" dxfId="1457" priority="424" stopIfTrue="1">
      <formula>$C228="text"</formula>
    </cfRule>
    <cfRule type="expression" dxfId="1456" priority="425" stopIfTrue="1">
      <formula>$C228="end repeat"</formula>
    </cfRule>
  </conditionalFormatting>
  <conditionalFormatting sqref="F234:F235">
    <cfRule type="expression" dxfId="1455" priority="426" stopIfTrue="1">
      <formula>$C234="decimal"</formula>
    </cfRule>
    <cfRule type="expression" dxfId="1454" priority="427" stopIfTrue="1">
      <formula>$C234="integer"</formula>
    </cfRule>
    <cfRule type="expression" dxfId="1453" priority="428" stopIfTrue="1">
      <formula>$C234="text"</formula>
    </cfRule>
    <cfRule type="expression" dxfId="1452" priority="429" stopIfTrue="1">
      <formula>$C234="end repeat"</formula>
    </cfRule>
    <cfRule type="expression" dxfId="1451" priority="430" stopIfTrue="1">
      <formula>$C234="begin repeat"</formula>
    </cfRule>
    <cfRule type="expression" dxfId="1450" priority="431" stopIfTrue="1">
      <formula>$C234="end group"</formula>
    </cfRule>
    <cfRule type="expression" dxfId="1449" priority="432" stopIfTrue="1">
      <formula>$C234="begin group"</formula>
    </cfRule>
    <cfRule type="expression" dxfId="1448" priority="433" stopIfTrue="1">
      <formula>$C234="begin repeat"</formula>
    </cfRule>
  </conditionalFormatting>
  <conditionalFormatting sqref="F307:F308">
    <cfRule type="expression" dxfId="1447" priority="434" stopIfTrue="1">
      <formula>OR($C307="username", $C307="phonenumber", $C307="start", $C307="end", $C307="deviceid", $C307="subscriberid", $C307="simserial", $C307="caseid")</formula>
    </cfRule>
    <cfRule type="expression" dxfId="1446" priority="435" stopIfTrue="1">
      <formula>$C307="end repeat"</formula>
    </cfRule>
    <cfRule type="expression" dxfId="1445" priority="436" stopIfTrue="1">
      <formula>OR(AND(LEFT($C307, 16)="select_multiple ", LEN($C307)&gt;16, NOT(ISNUMBER(SEARCH(" ", $C307, 17)))), AND(LEFT($C307, 11)="select_one ", LEN($C307)&gt;11, NOT(ISNUMBER(SEARCH(" ", $C307, 12)))))</formula>
    </cfRule>
    <cfRule type="expression" dxfId="1444" priority="437" stopIfTrue="1">
      <formula>$C307="decimal"</formula>
    </cfRule>
  </conditionalFormatting>
  <conditionalFormatting sqref="F1:G12 D11:E11 H11:U12 C12:E12 C14:E20 F14:I31 O14:U31 E19:E25 C26:E31 C33:U38 C40:U69 C71:E81 F71:U84 D82:E84 H86:U86 C86:G96 D98:U103 C105:U108 F110:K110 M110:U110 D110:E114 F111:U115 C115:E115 H117:U124 C117:G130 H125:K128 M125:U128 H129:O130 R129:U130 D132:K132 M132:U132 C133:U137 C139:G151 D153:K153 M153:U153 D154:U158 H160 E160:G180 D182:E182 G182:K182 M182:U182 F182:F187 E183:E187 G183:G187 D184:D187 H184:U187 E189:G192 I189:U192 C190:E192 H190:H192 D194:K194 M194:U194 D195:U198 E200:E201 I200:U201 F200:G238 H202:U202 C202:E237 L203:N207 I203:K236 R203:U236 H205:H207 N208:N220 L208:M227 H209 O209:O215 M210:N215 O216:Q236 H217 H219:H236 M221:N227 L228:N236 H237:U238 E237:E239 G238:G241 C239:U242 C244:G296 R244:U296 N245:Q245 L245:M249 J245:K270 H245:I280 O246:Q247 K246:N256 O248:P248 P248:Q256 O249:O256 L251:M270 N257:N270 O257:Q280 N262:O269 L262:L278 I271:Q278 J279:N280 H282:Q282 H284:Q295 C298:E298 E298:E300 F298:U312 C301:E312 D314:F314 H314:K314 M314:U314 G314:G320 G322 H324:U328 O329:Q421 J329:N422 H329:I468 R329:U468 L405:L468 J423:K468 K424:Q468 H469:U476 C477:U477 H478:U493 K494:N497 H494:K528 O494:U528 L497:L528 M498:N528 C530:U530 C532:U534 C536:K536 M536:U536 H545:U545 C545:G607 H546:K549 M546:N549 O546:Q575 R546:U607 L548:L549 I550:N596 H550:H607 O580:Q601 L597:L599 J597:K601 M598:M599 I598:I601 N599:N601 L600:M601 I602:Q607 C609:U609 C611:U612 C614:U614 O616:O618 C616:N623 R616:U623 O619:Q623 C625:U625 C626:K626 M626:U626 C627:U628 C634:U646 C648:U652 E654:U656 C659:U665 R667 C689:U689 C1:E1 E1:E2 I1:Q10 H2:H10 R2:U10 C3:E10 J14:N24 L14:M31 J25:K31 N25:N31 H87:M91 O87:U91 N89:N91 H92:U96 H139:H145 O172:P177 O203:Q204 P205:P206 C324:G476 O422 P422:P423 M423:O423 C478:G528 O576:O579">
    <cfRule type="expression" dxfId="1443" priority="226" stopIfTrue="1">
      <formula>OR($C1="username", $C1="phonenumber", $C1="start", $C1="end", $C1="deviceid", $C1="subscriberid", $C1="simserial", $C1="caseid")</formula>
    </cfRule>
  </conditionalFormatting>
  <conditionalFormatting sqref="F234:G235">
    <cfRule type="expression" dxfId="1442" priority="439" stopIfTrue="1">
      <formula>$C234="image"</formula>
    </cfRule>
    <cfRule type="expression" dxfId="1441" priority="440" stopIfTrue="1">
      <formula>OR($C234="date", $C234="datetime")</formula>
    </cfRule>
    <cfRule type="expression" dxfId="1440" priority="441" stopIfTrue="1">
      <formula>OR($C234="calculate", $C234="calculate_here")</formula>
    </cfRule>
    <cfRule type="expression" dxfId="1439" priority="442" stopIfTrue="1">
      <formula>OR($C234="geopoint", $C234="geoshape", $C234="geotrace")</formula>
    </cfRule>
    <cfRule type="expression" dxfId="1438" priority="443" stopIfTrue="1">
      <formula>OR($C234="audio audit", $C234="text audit", $C234="speed violations count", $C234="speed violations list", $C234="speed violations audit")</formula>
    </cfRule>
    <cfRule type="expression" dxfId="1437" priority="444" stopIfTrue="1">
      <formula>OR($C234="username", $C234="phonenumber", $C234="start", $C234="end", $C234="deviceid", $C234="subscriberid", $C234="simserial", $C234="caseid")</formula>
    </cfRule>
    <cfRule type="expression" dxfId="1436" priority="445" stopIfTrue="1">
      <formula>OR(AND(LEFT($C234, 16)="select_multiple ", LEN($C234)&gt;16, NOT(ISNUMBER(SEARCH(" ", $C234, 17)))), AND(LEFT($C234, 11)="select_one ", LEN($C234)&gt;11, NOT(ISNUMBER(SEARCH(" ", $C234, 12)))))</formula>
    </cfRule>
    <cfRule type="expression" dxfId="1435" priority="446" stopIfTrue="1">
      <formula>$C234="decimal"</formula>
    </cfRule>
  </conditionalFormatting>
  <conditionalFormatting sqref="G203:G235">
    <cfRule type="expression" dxfId="1434" priority="447" stopIfTrue="1">
      <formula>$C203="text"</formula>
    </cfRule>
  </conditionalFormatting>
  <conditionalFormatting sqref="G228:G235">
    <cfRule type="expression" dxfId="1433" priority="448" stopIfTrue="1">
      <formula>$C228="integer"</formula>
    </cfRule>
    <cfRule type="expression" dxfId="1432" priority="449" stopIfTrue="1">
      <formula>$C228="text"</formula>
    </cfRule>
    <cfRule type="expression" dxfId="1431" priority="450" stopIfTrue="1">
      <formula>$C228="end repeat"</formula>
    </cfRule>
  </conditionalFormatting>
  <conditionalFormatting sqref="G234:G235">
    <cfRule type="expression" dxfId="1430" priority="454" stopIfTrue="1">
      <formula>$C234="begin repeat"</formula>
    </cfRule>
    <cfRule type="expression" dxfId="1429" priority="455" stopIfTrue="1">
      <formula>$C234="end group"</formula>
    </cfRule>
    <cfRule type="expression" dxfId="1428" priority="456" stopIfTrue="1">
      <formula>$C234="begin group"</formula>
    </cfRule>
    <cfRule type="expression" dxfId="1427" priority="457" stopIfTrue="1">
      <formula>$C234="decimal"</formula>
    </cfRule>
    <cfRule type="expression" dxfId="1426" priority="458" stopIfTrue="1">
      <formula>$C234="begin repeat"</formula>
    </cfRule>
  </conditionalFormatting>
  <conditionalFormatting sqref="H1 C82:C84">
    <cfRule type="expression" dxfId="1425" priority="459" stopIfTrue="1">
      <formula>$A1="comments"</formula>
    </cfRule>
    <cfRule type="expression" dxfId="1424" priority="460" stopIfTrue="1">
      <formula>OR($A1="audio", $A1="video")</formula>
    </cfRule>
    <cfRule type="expression" dxfId="1423" priority="461" stopIfTrue="1">
      <formula>$A1="image"</formula>
    </cfRule>
    <cfRule type="expression" dxfId="1422" priority="462" stopIfTrue="1">
      <formula>OR($A1="date", $A1="datetime")</formula>
    </cfRule>
    <cfRule type="expression" dxfId="1421" priority="463" stopIfTrue="1">
      <formula>OR($A1="calculate", $A1="calculate_here")</formula>
    </cfRule>
    <cfRule type="expression" dxfId="1420" priority="464" stopIfTrue="1">
      <formula>$A1="note"</formula>
    </cfRule>
    <cfRule type="expression" dxfId="1419" priority="465" stopIfTrue="1">
      <formula>$A1="barcode"</formula>
    </cfRule>
    <cfRule type="expression" dxfId="1418" priority="466" stopIfTrue="1">
      <formula>OR($A1="geopoint", $A1="geoshape", $A1="geotrace")</formula>
    </cfRule>
    <cfRule type="expression" dxfId="1417" priority="467" stopIfTrue="1">
      <formula>OR($A1="audio audit", $A1="text audit", $A1="speed violations count", $A1="speed violations list", $A1="speed violations audit")</formula>
    </cfRule>
    <cfRule type="expression" dxfId="1416" priority="468" stopIfTrue="1">
      <formula>OR($A1="username", $A1="phonenumber", $A1="start", $A1="end", $A1="deviceid", $A1="subscriberid", $A1="simserial", $A1="caseid")</formula>
    </cfRule>
    <cfRule type="expression" dxfId="1415" priority="469" stopIfTrue="1">
      <formula>OR(AND(LEFT($A1, 16)="select_multiple ", LEN($A1)&gt;16, NOT(ISNUMBER(SEARCH(" ", $A1, 17)))), AND(LEFT($A1, 11)="select_one ", LEN($A1)&gt;11, NOT(ISNUMBER(SEARCH(" ", $A1, 12)))))</formula>
    </cfRule>
    <cfRule type="expression" dxfId="1414" priority="470" stopIfTrue="1">
      <formula>$A1="decimal"</formula>
    </cfRule>
    <cfRule type="expression" dxfId="1413" priority="471" stopIfTrue="1">
      <formula>$A1="integer"</formula>
    </cfRule>
    <cfRule type="expression" dxfId="1412" priority="472" stopIfTrue="1">
      <formula>$A1="text"</formula>
    </cfRule>
    <cfRule type="expression" dxfId="1411" priority="473" stopIfTrue="1">
      <formula>$A1="end repeat"</formula>
    </cfRule>
    <cfRule type="expression" dxfId="1410" priority="474" stopIfTrue="1">
      <formula>$A1="begin repeat"</formula>
    </cfRule>
    <cfRule type="expression" dxfId="1409" priority="475" stopIfTrue="1">
      <formula>$A1="end group"</formula>
    </cfRule>
    <cfRule type="expression" dxfId="1408" priority="476" stopIfTrue="1">
      <formula>$A1="begin group"</formula>
    </cfRule>
  </conditionalFormatting>
  <conditionalFormatting sqref="H25 I228:I233 K228:K233 M228:N233 H145:H146">
    <cfRule type="expression" dxfId="1407" priority="478" stopIfTrue="1">
      <formula>$C25="begin group"</formula>
    </cfRule>
  </conditionalFormatting>
  <conditionalFormatting sqref="H29:H31 R29:R31 H33:H38 R33:R38 H183">
    <cfRule type="expression" dxfId="1406" priority="479" stopIfTrue="1">
      <formula>OR($C29="calculate", $C29="calculate_here")</formula>
    </cfRule>
  </conditionalFormatting>
  <conditionalFormatting sqref="H92:H96">
    <cfRule type="expression" dxfId="1405" priority="480" stopIfTrue="1">
      <formula>OR($C92="audio", $C92="video")</formula>
    </cfRule>
    <cfRule type="expression" dxfId="1404" priority="481" stopIfTrue="1">
      <formula>OR($C92="calculate", $C92="calculate_here")</formula>
    </cfRule>
    <cfRule type="expression" dxfId="1403" priority="482" stopIfTrue="1">
      <formula>$C92="note"</formula>
    </cfRule>
  </conditionalFormatting>
  <conditionalFormatting sqref="H118 C182 L245:N245 O248:P248 P248:Q256 O249:O256 M271:N278 J550:Q583 R609:U609 R611:U612">
    <cfRule type="expression" dxfId="1402" priority="483" stopIfTrue="1">
      <formula>$C118="comments"</formula>
    </cfRule>
  </conditionalFormatting>
  <conditionalFormatting sqref="H118 H120:H123">
    <cfRule type="expression" dxfId="1401" priority="484" stopIfTrue="1">
      <formula>OR($C118="audio", $C118="video")</formula>
    </cfRule>
    <cfRule type="expression" dxfId="1400" priority="485" stopIfTrue="1">
      <formula>$C118="image"</formula>
    </cfRule>
    <cfRule type="expression" dxfId="1399" priority="486" stopIfTrue="1">
      <formula>OR($C118="date", $C118="datetime")</formula>
    </cfRule>
    <cfRule type="expression" dxfId="1398" priority="487" stopIfTrue="1">
      <formula>OR($C118="calculate", $C118="calculate_here")</formula>
    </cfRule>
    <cfRule type="expression" dxfId="1397" priority="488" stopIfTrue="1">
      <formula>$C118="barcode"</formula>
    </cfRule>
    <cfRule type="expression" dxfId="1396" priority="489" stopIfTrue="1">
      <formula>OR($C118="audio audit", $C118="text audit", $C118="speed violations count", $C118="speed violations list", $C118="speed violations audit")</formula>
    </cfRule>
    <cfRule type="expression" dxfId="1395" priority="490" stopIfTrue="1">
      <formula>OR($C118="username", $C118="phonenumber", $C118="start", $C118="end", $C118="deviceid", $C118="subscriberid", $C118="simserial", $C118="caseid")</formula>
    </cfRule>
    <cfRule type="expression" dxfId="1394" priority="491" stopIfTrue="1">
      <formula>$C118="decimal"</formula>
    </cfRule>
    <cfRule type="expression" dxfId="1393" priority="492" stopIfTrue="1">
      <formula>$C118="integer"</formula>
    </cfRule>
    <cfRule type="expression" dxfId="1392" priority="493" stopIfTrue="1">
      <formula>$C118="text"</formula>
    </cfRule>
    <cfRule type="expression" dxfId="1391" priority="494" stopIfTrue="1">
      <formula>$C118="end repeat"</formula>
    </cfRule>
    <cfRule type="expression" dxfId="1390" priority="495" stopIfTrue="1">
      <formula>$C118="begin repeat"</formula>
    </cfRule>
    <cfRule type="expression" dxfId="1389" priority="496" stopIfTrue="1">
      <formula>$C118="end group"</formula>
    </cfRule>
  </conditionalFormatting>
  <conditionalFormatting sqref="H118:H123">
    <cfRule type="expression" dxfId="1388" priority="497" stopIfTrue="1">
      <formula>$C118="note"</formula>
    </cfRule>
  </conditionalFormatting>
  <conditionalFormatting sqref="H125:H128">
    <cfRule type="expression" dxfId="1387" priority="498" stopIfTrue="1">
      <formula>OR($C125="audio", $C125="video")</formula>
    </cfRule>
    <cfRule type="expression" dxfId="1386" priority="499" stopIfTrue="1">
      <formula>$C125="image"</formula>
    </cfRule>
    <cfRule type="expression" dxfId="1385" priority="500" stopIfTrue="1">
      <formula>OR($C125="date", $C125="datetime")</formula>
    </cfRule>
    <cfRule type="expression" dxfId="1384" priority="501" stopIfTrue="1">
      <formula>OR($C125="calculate", $C125="calculate_here")</formula>
    </cfRule>
    <cfRule type="expression" dxfId="1383" priority="502" stopIfTrue="1">
      <formula>$C125="barcode"</formula>
    </cfRule>
    <cfRule type="expression" dxfId="1382" priority="503" stopIfTrue="1">
      <formula>OR($C125="audio audit", $C125="text audit", $C125="speed violations count", $C125="speed violations list", $C125="speed violations audit")</formula>
    </cfRule>
    <cfRule type="expression" dxfId="1381" priority="504" stopIfTrue="1">
      <formula>OR($C125="username", $C125="phonenumber", $C125="start", $C125="end", $C125="deviceid", $C125="subscriberid", $C125="simserial", $C125="caseid")</formula>
    </cfRule>
    <cfRule type="expression" dxfId="1380" priority="505" stopIfTrue="1">
      <formula>$C125="note"</formula>
    </cfRule>
    <cfRule type="expression" dxfId="1379" priority="506" stopIfTrue="1">
      <formula>$C125="decimal"</formula>
    </cfRule>
    <cfRule type="expression" dxfId="1378" priority="507" stopIfTrue="1">
      <formula>$C125="integer"</formula>
    </cfRule>
    <cfRule type="expression" dxfId="1377" priority="508" stopIfTrue="1">
      <formula>$C125="text"</formula>
    </cfRule>
    <cfRule type="expression" dxfId="1376" priority="509" stopIfTrue="1">
      <formula>$C125="end repeat"</formula>
    </cfRule>
    <cfRule type="expression" dxfId="1375" priority="510" stopIfTrue="1">
      <formula>$C125="end group"</formula>
    </cfRule>
  </conditionalFormatting>
  <conditionalFormatting sqref="H139:H142 E19:G21 O172:O177">
    <cfRule type="expression" dxfId="1374" priority="419" stopIfTrue="1">
      <formula>$C19="begin group"</formula>
    </cfRule>
  </conditionalFormatting>
  <conditionalFormatting sqref="H139:H142 H145:H146 H234">
    <cfRule type="expression" dxfId="1373" priority="512" stopIfTrue="1">
      <formula>$C139="end repeat"</formula>
    </cfRule>
    <cfRule type="expression" dxfId="1372" priority="513" stopIfTrue="1">
      <formula>$C139="begin repeat"</formula>
    </cfRule>
  </conditionalFormatting>
  <conditionalFormatting sqref="H139:H142">
    <cfRule type="expression" dxfId="1371" priority="514" stopIfTrue="1">
      <formula>$C139="end group"</formula>
    </cfRule>
  </conditionalFormatting>
  <conditionalFormatting sqref="H139:H145">
    <cfRule type="expression" dxfId="1370" priority="515" stopIfTrue="1">
      <formula>OR($C139="audio audit", $C139="text audit", $C139="speed violations count", $C139="speed violations list", $C139="speed violations audit")</formula>
    </cfRule>
  </conditionalFormatting>
  <conditionalFormatting sqref="H139:H148 H150:H151">
    <cfRule type="expression" dxfId="1369" priority="516" stopIfTrue="1">
      <formula>OR($C139="audio", $C139="video")</formula>
    </cfRule>
    <cfRule type="expression" dxfId="1368" priority="517" stopIfTrue="1">
      <formula>$C139="image"</formula>
    </cfRule>
    <cfRule type="expression" dxfId="1367" priority="518" stopIfTrue="1">
      <formula>OR($C139="date", $C139="datetime")</formula>
    </cfRule>
    <cfRule type="expression" dxfId="1366" priority="519" stopIfTrue="1">
      <formula>OR($C139="calculate", $C139="calculate_here")</formula>
    </cfRule>
    <cfRule type="expression" dxfId="1365" priority="520" stopIfTrue="1">
      <formula>$C139="note"</formula>
    </cfRule>
    <cfRule type="expression" dxfId="1364" priority="521" stopIfTrue="1">
      <formula>$C139="barcode"</formula>
    </cfRule>
    <cfRule type="expression" dxfId="1363" priority="522" stopIfTrue="1">
      <formula>OR($C139="geopoint", $C139="geoshape", $C139="geotrace")</formula>
    </cfRule>
  </conditionalFormatting>
  <conditionalFormatting sqref="H145:H146 H139:H142 H234">
    <cfRule type="expression" dxfId="1362" priority="511" stopIfTrue="1">
      <formula>$C139="text"</formula>
    </cfRule>
    <cfRule type="expression" dxfId="1361" priority="524" stopIfTrue="1">
      <formula>$C139="integer"</formula>
    </cfRule>
  </conditionalFormatting>
  <conditionalFormatting sqref="H145:H146 H25:U25 I228:I233 K228:K233 M228:N233">
    <cfRule type="expression" dxfId="1360" priority="523" stopIfTrue="1">
      <formula>$C25="end group"</formula>
    </cfRule>
  </conditionalFormatting>
  <conditionalFormatting sqref="H145:H146">
    <cfRule type="expression" dxfId="1359" priority="525" stopIfTrue="1">
      <formula>OR(AND(LEFT($C145, 16)="select_multiple ", LEN($C145)&gt;16, NOT(ISNUMBER(SEARCH(" ", $C145, 17)))), AND(LEFT($C145, 11)="select_one ", LEN($C145)&gt;11, NOT(ISNUMBER(SEARCH(" ", $C145, 12)))))</formula>
    </cfRule>
    <cfRule type="expression" dxfId="1358" priority="526" stopIfTrue="1">
      <formula>$C145="decimal"</formula>
    </cfRule>
  </conditionalFormatting>
  <conditionalFormatting sqref="H145:H148">
    <cfRule type="expression" dxfId="1357" priority="527" stopIfTrue="1">
      <formula>OR($C145="audio audit", $C145="text audit", $C145="speed violations count", $C145="speed violations list", $C145="speed violations audit")</formula>
    </cfRule>
    <cfRule type="expression" dxfId="1356" priority="528" stopIfTrue="1">
      <formula>OR($C145="username", $C145="phonenumber", $C145="start", $C145="end", $C145="deviceid", $C145="subscriberid", $C145="simserial", $C145="caseid")</formula>
    </cfRule>
  </conditionalFormatting>
  <conditionalFormatting sqref="H148:H149">
    <cfRule type="expression" dxfId="1355" priority="529" stopIfTrue="1">
      <formula>$C148="comments"</formula>
    </cfRule>
    <cfRule type="expression" dxfId="1354" priority="530" stopIfTrue="1">
      <formula>OR($C148="audio", $C148="video")</formula>
    </cfRule>
    <cfRule type="expression" dxfId="1353" priority="531" stopIfTrue="1">
      <formula>$C148="image"</formula>
    </cfRule>
    <cfRule type="expression" dxfId="1352" priority="532" stopIfTrue="1">
      <formula>OR($C148="date", $C148="datetime")</formula>
    </cfRule>
    <cfRule type="expression" dxfId="1351" priority="533" stopIfTrue="1">
      <formula>OR($C148="calculate", $C148="calculate_here")</formula>
    </cfRule>
    <cfRule type="expression" dxfId="1350" priority="534" stopIfTrue="1">
      <formula>$C148="note"</formula>
    </cfRule>
    <cfRule type="expression" dxfId="1349" priority="535" stopIfTrue="1">
      <formula>$C148="barcode"</formula>
    </cfRule>
    <cfRule type="expression" dxfId="1348" priority="536" stopIfTrue="1">
      <formula>OR($C148="geopoint", $C148="geoshape", $C148="geotrace")</formula>
    </cfRule>
    <cfRule type="expression" dxfId="1347" priority="537" stopIfTrue="1">
      <formula>OR(AND(LEFT($C148, 16)="select_multiple ", LEN($C148)&gt;16, NOT(ISNUMBER(SEARCH(" ", $C148, 17)))), AND(LEFT($C148, 11)="select_one ", LEN($C148)&gt;11, NOT(ISNUMBER(SEARCH(" ", $C148, 12)))))</formula>
    </cfRule>
    <cfRule type="expression" dxfId="1346" priority="538" stopIfTrue="1">
      <formula>$C148="integer"</formula>
    </cfRule>
    <cfRule type="expression" dxfId="1345" priority="539" stopIfTrue="1">
      <formula>$C148="text"</formula>
    </cfRule>
    <cfRule type="expression" dxfId="1344" priority="540" stopIfTrue="1">
      <formula>$C148="end repeat"</formula>
    </cfRule>
    <cfRule type="expression" dxfId="1343" priority="541" stopIfTrue="1">
      <formula>$C148="begin repeat"</formula>
    </cfRule>
    <cfRule type="expression" dxfId="1342" priority="542" stopIfTrue="1">
      <formula>$C148="end group"</formula>
    </cfRule>
  </conditionalFormatting>
  <conditionalFormatting sqref="H148:H151">
    <cfRule type="expression" dxfId="1341" priority="543" stopIfTrue="1">
      <formula>OR($C148="audio audit", $C148="text audit", $C148="speed violations count", $C148="speed violations list", $C148="speed violations audit")</formula>
    </cfRule>
    <cfRule type="expression" dxfId="1340" priority="544" stopIfTrue="1">
      <formula>OR($C148="username", $C148="phonenumber", $C148="start", $C148="end", $C148="deviceid", $C148="subscriberid", $C148="simserial", $C148="caseid")</formula>
    </cfRule>
    <cfRule type="expression" dxfId="1339" priority="545" stopIfTrue="1">
      <formula>$C148="decimal"</formula>
    </cfRule>
  </conditionalFormatting>
  <conditionalFormatting sqref="H161:H165 H167 H169:H180 L87:M88">
    <cfRule type="expression" dxfId="1338" priority="547" stopIfTrue="1">
      <formula>$C87="image"</formula>
    </cfRule>
  </conditionalFormatting>
  <conditionalFormatting sqref="H161:H165 H167 H169:H180">
    <cfRule type="expression" dxfId="1337" priority="548" stopIfTrue="1">
      <formula>OR($C161="audio", $C161="video")</formula>
    </cfRule>
  </conditionalFormatting>
  <conditionalFormatting sqref="H162:H180">
    <cfRule type="expression" dxfId="1336" priority="546" stopIfTrue="1">
      <formula>OR($C162="audio audit", $C162="text audit", $C162="speed violations count", $C162="speed violations list", $C162="speed violations audit")</formula>
    </cfRule>
    <cfRule type="expression" dxfId="1335" priority="549" stopIfTrue="1">
      <formula>$C162="begin repeat"</formula>
    </cfRule>
    <cfRule type="expression" dxfId="1334" priority="550" stopIfTrue="1">
      <formula>$C162="end group"</formula>
    </cfRule>
    <cfRule type="expression" dxfId="1333" priority="551" stopIfTrue="1">
      <formula>$C162="begin group"</formula>
    </cfRule>
  </conditionalFormatting>
  <conditionalFormatting sqref="H165:H168 D166:G168 N165:N168 L166:L168">
    <cfRule type="expression" dxfId="1332" priority="552" stopIfTrue="1">
      <formula>#REF!="image"</formula>
    </cfRule>
  </conditionalFormatting>
  <conditionalFormatting sqref="H165:H168 N165:N168 D166:G168 L166:L168">
    <cfRule type="expression" dxfId="1331" priority="553" stopIfTrue="1">
      <formula>OR(#REF!="date", #REF!="datetime")</formula>
    </cfRule>
    <cfRule type="expression" dxfId="1330" priority="554" stopIfTrue="1">
      <formula>OR(#REF!="calculate", #REF!="calculate_here")</formula>
    </cfRule>
    <cfRule type="expression" dxfId="1329" priority="555" stopIfTrue="1">
      <formula>#REF!="note"</formula>
    </cfRule>
    <cfRule type="expression" dxfId="1328" priority="556" stopIfTrue="1">
      <formula>#REF!="barcode"</formula>
    </cfRule>
    <cfRule type="expression" dxfId="1327" priority="557" stopIfTrue="1">
      <formula>OR(#REF!="geopoint", #REF!="geoshape", #REF!="geotrace")</formula>
    </cfRule>
    <cfRule type="expression" dxfId="1326" priority="558" stopIfTrue="1">
      <formula>OR(#REF!="audio audit", #REF!="text audit", #REF!="speed violations count", #REF!="speed violations list", #REF!="speed violations audit")</formula>
    </cfRule>
    <cfRule type="expression" dxfId="1325" priority="559" stopIfTrue="1">
      <formula>OR(#REF!="username", #REF!="phonenumber", #REF!="start", #REF!="end", #REF!="deviceid", #REF!="subscriberid", #REF!="simserial", #REF!="caseid")</formula>
    </cfRule>
    <cfRule type="expression" dxfId="1324" priority="560" stopIfTrue="1">
      <formula>OR(AND(LEFT(#REF!, 16)="select_multiple ", LEN(#REF!)&gt;16, NOT(ISNUMBER(SEARCH(" ", #REF!, 17)))), AND(LEFT(#REF!, 11)="select_one ", LEN(#REF!)&gt;11, NOT(ISNUMBER(SEARCH(" ", #REF!, 12)))))</formula>
    </cfRule>
    <cfRule type="expression" dxfId="1323" priority="561" stopIfTrue="1">
      <formula>#REF!="decimal"</formula>
    </cfRule>
    <cfRule type="expression" dxfId="1322" priority="562" stopIfTrue="1">
      <formula>#REF!="integer"</formula>
    </cfRule>
    <cfRule type="expression" dxfId="1321" priority="563" stopIfTrue="1">
      <formula>#REF!="text"</formula>
    </cfRule>
    <cfRule type="expression" dxfId="1320" priority="564" stopIfTrue="1">
      <formula>#REF!="end repeat"</formula>
    </cfRule>
    <cfRule type="expression" dxfId="1319" priority="565" stopIfTrue="1">
      <formula>#REF!="begin repeat"</formula>
    </cfRule>
    <cfRule type="expression" dxfId="1318" priority="566" stopIfTrue="1">
      <formula>#REF!="end group"</formula>
    </cfRule>
    <cfRule type="expression" dxfId="1317" priority="567" stopIfTrue="1">
      <formula>#REF!="begin group"</formula>
    </cfRule>
  </conditionalFormatting>
  <conditionalFormatting sqref="H201 H203:H208 C238:H238 C210:G215 C221:G226 L218 O221:O226">
    <cfRule type="expression" dxfId="1316" priority="329" stopIfTrue="1">
      <formula>$C201="end group"</formula>
    </cfRule>
  </conditionalFormatting>
  <conditionalFormatting sqref="H203:H204 C203:E235">
    <cfRule type="expression" dxfId="1315" priority="569" stopIfTrue="1">
      <formula>$C203="text"</formula>
    </cfRule>
  </conditionalFormatting>
  <conditionalFormatting sqref="H203:H204 C200:H201 C299:G300">
    <cfRule type="expression" dxfId="1314" priority="570" stopIfTrue="1">
      <formula>$C200="end repeat"</formula>
    </cfRule>
  </conditionalFormatting>
  <conditionalFormatting sqref="H208 N221:O226 O205:O206">
    <cfRule type="expression" dxfId="1313" priority="571" stopIfTrue="1">
      <formula>OR($C205="username", $C205="phonenumber", $C205="start", $C205="end", $C205="deviceid", $C205="subscriberid", $C205="simserial", $C205="caseid")</formula>
    </cfRule>
  </conditionalFormatting>
  <conditionalFormatting sqref="H210:H215 J423:K423 J597:K598">
    <cfRule type="expression" dxfId="1312" priority="573" stopIfTrue="1">
      <formula>OR(AND(LEFT($C210, 16)="select_multiple ", LEN($C210)&gt;16, NOT(ISNUMBER(SEARCH(" ", $C210, 17)))), AND(LEFT($C210, 11)="select_one ", LEN($C210)&gt;11, NOT(ISNUMBER(SEARCH(" ", $C210, 12)))))</formula>
    </cfRule>
  </conditionalFormatting>
  <conditionalFormatting sqref="H210:H215">
    <cfRule type="expression" dxfId="1311" priority="574" stopIfTrue="1">
      <formula>OR($C210="audio audit", $C210="text audit", $C210="speed violations count", $C210="speed violations list", $C210="speed violations audit")</formula>
    </cfRule>
    <cfRule type="expression" dxfId="1310" priority="575" stopIfTrue="1">
      <formula>OR($C210="username", $C210="phonenumber", $C210="start", $C210="end", $C210="deviceid", $C210="subscriberid", $C210="simserial", $C210="caseid")</formula>
    </cfRule>
  </conditionalFormatting>
  <conditionalFormatting sqref="H210:H216">
    <cfRule type="expression" dxfId="1309" priority="576" stopIfTrue="1">
      <formula>OR($C210="audio audit", $C210="text audit", $C210="speed violations count", $C210="speed violations list", $C210="speed violations audit")</formula>
    </cfRule>
    <cfRule type="expression" dxfId="1308" priority="577" stopIfTrue="1">
      <formula>OR($C210="username", $C210="phonenumber", $C210="start", $C210="end", $C210="deviceid", $C210="subscriberid", $C210="simserial", $C210="caseid")</formula>
    </cfRule>
  </conditionalFormatting>
  <conditionalFormatting sqref="H218 L218 L118:L123 L324:L327">
    <cfRule type="expression" dxfId="1307" priority="578" stopIfTrue="1">
      <formula>OR($C118="username", $C118="phonenumber", $C118="start", $C118="end", $C118="deviceid", $C118="subscriberid", $C118="simserial", $C118="caseid")</formula>
    </cfRule>
  </conditionalFormatting>
  <conditionalFormatting sqref="H218 L218 N221:N226 L324:L327">
    <cfRule type="expression" dxfId="1306" priority="580" stopIfTrue="1">
      <formula>$C218="integer"</formula>
    </cfRule>
  </conditionalFormatting>
  <conditionalFormatting sqref="H218 L218 N221:N226">
    <cfRule type="expression" dxfId="1305" priority="581" stopIfTrue="1">
      <formula>$C218="text"</formula>
    </cfRule>
    <cfRule type="expression" dxfId="1304" priority="1006" stopIfTrue="1">
      <formula>OR($C218="audio audit", $C218="text audit", $C218="speed violations count", $C218="speed violations list", $C218="speed violations audit")</formula>
    </cfRule>
  </conditionalFormatting>
  <conditionalFormatting sqref="H228:H233 C234:E235">
    <cfRule type="expression" dxfId="1303" priority="227" stopIfTrue="1">
      <formula>$C228="decimal"</formula>
    </cfRule>
    <cfRule type="expression" dxfId="1302" priority="583" stopIfTrue="1">
      <formula>$C228="begin repeat"</formula>
    </cfRule>
  </conditionalFormatting>
  <conditionalFormatting sqref="H228:H233 O228:Q233">
    <cfRule type="expression" dxfId="1301" priority="584" stopIfTrue="1">
      <formula>$C228="integer"</formula>
    </cfRule>
  </conditionalFormatting>
  <conditionalFormatting sqref="H228:H233">
    <cfRule type="expression" dxfId="1300" priority="582" stopIfTrue="1">
      <formula>$C228="text"</formula>
    </cfRule>
    <cfRule type="expression" dxfId="1299" priority="585" stopIfTrue="1">
      <formula>OR($C228="username", $C228="phonenumber", $C228="start", $C228="end", $C228="deviceid", $C228="subscriberid", $C228="simserial", $C228="caseid")</formula>
    </cfRule>
  </conditionalFormatting>
  <conditionalFormatting sqref="H228:H234 I25:U25">
    <cfRule type="expression" dxfId="1298" priority="662" stopIfTrue="1">
      <formula>$C25="begin group"</formula>
    </cfRule>
  </conditionalFormatting>
  <conditionalFormatting sqref="H228:H234">
    <cfRule type="expression" dxfId="1297" priority="586" stopIfTrue="1">
      <formula>$C228="end group"</formula>
    </cfRule>
  </conditionalFormatting>
  <conditionalFormatting sqref="H235 H238">
    <cfRule type="expression" dxfId="1296" priority="588" stopIfTrue="1">
      <formula>OR($C235="date", $C235="datetime")</formula>
    </cfRule>
    <cfRule type="expression" dxfId="1295" priority="589" stopIfTrue="1">
      <formula>OR($C235="calculate", $C235="calculate_here")</formula>
    </cfRule>
  </conditionalFormatting>
  <conditionalFormatting sqref="H235">
    <cfRule type="expression" dxfId="1294" priority="590" stopIfTrue="1">
      <formula>OR($C235="audio", $C235="video")</formula>
    </cfRule>
    <cfRule type="expression" dxfId="1293" priority="591" stopIfTrue="1">
      <formula>$C235="decimal"</formula>
    </cfRule>
    <cfRule type="expression" dxfId="1292" priority="592" stopIfTrue="1">
      <formula>$C235="integer"</formula>
    </cfRule>
    <cfRule type="expression" dxfId="1291" priority="593" stopIfTrue="1">
      <formula>$C235="text"</formula>
    </cfRule>
    <cfRule type="expression" dxfId="1290" priority="594" stopIfTrue="1">
      <formula>$C235="end repeat"</formula>
    </cfRule>
    <cfRule type="expression" dxfId="1289" priority="595" stopIfTrue="1">
      <formula>$C235="begin repeat"</formula>
    </cfRule>
    <cfRule type="expression" dxfId="1288" priority="596" stopIfTrue="1">
      <formula>$C235="end group"</formula>
    </cfRule>
    <cfRule type="expression" dxfId="1287" priority="597" stopIfTrue="1">
      <formula>$C235="begin group"</formula>
    </cfRule>
  </conditionalFormatting>
  <conditionalFormatting sqref="H238 H235">
    <cfRule type="expression" dxfId="1286" priority="587" stopIfTrue="1">
      <formula>$C235="image"</formula>
    </cfRule>
  </conditionalFormatting>
  <conditionalFormatting sqref="H238 I160:N180 R22:U26 H183:Q183 I98:U103 M153 O153:Q155 L154:M155 I156:U158 M182 O182:Q182 M194 O194:Q198 L195:M198 J654:Q655 I656:U656 I659:U665 O208:Q208 P211:Q215 C2:G2 L139:M151 O139:Q151 O160:Q171 O178:Q180">
    <cfRule type="expression" dxfId="1285" priority="598" stopIfTrue="1">
      <formula>$C2="text"</formula>
    </cfRule>
  </conditionalFormatting>
  <conditionalFormatting sqref="H245">
    <cfRule type="expression" dxfId="1284" priority="599" stopIfTrue="1">
      <formula>$C245="end group"</formula>
    </cfRule>
    <cfRule type="expression" dxfId="1283" priority="600" stopIfTrue="1">
      <formula>$C245="begin group"</formula>
    </cfRule>
  </conditionalFormatting>
  <conditionalFormatting sqref="H407 L407">
    <cfRule type="expression" dxfId="1282" priority="601" stopIfTrue="1">
      <formula>OR(#REF!="geopoint", #REF!="geoshape", #REF!="geotrace")</formula>
    </cfRule>
    <cfRule type="expression" dxfId="1281" priority="602" stopIfTrue="1">
      <formula>OR(#REF!="audio audit", #REF!="text audit", #REF!="speed violations count", #REF!="speed violations list", #REF!="speed violations audit")</formula>
    </cfRule>
    <cfRule type="expression" dxfId="1280" priority="603" stopIfTrue="1">
      <formula>OR(#REF!="username", #REF!="phonenumber", #REF!="start", #REF!="end", #REF!="deviceid", #REF!="subscriberid", #REF!="simserial", #REF!="caseid")</formula>
    </cfRule>
    <cfRule type="expression" dxfId="1279" priority="604" stopIfTrue="1">
      <formula>OR(AND(LEFT(#REF!, 16)="select_multiple ", LEN(#REF!)&gt;16, NOT(ISNUMBER(SEARCH(" ", #REF!, 17)))), AND(LEFT(#REF!, 11)="select_one ", LEN(#REF!)&gt;11, NOT(ISNUMBER(SEARCH(" ", #REF!, 12)))))</formula>
    </cfRule>
    <cfRule type="expression" dxfId="1278" priority="605" stopIfTrue="1">
      <formula>#REF!="decimal"</formula>
    </cfRule>
    <cfRule type="expression" dxfId="1277" priority="606" stopIfTrue="1">
      <formula>#REF!="integer"</formula>
    </cfRule>
    <cfRule type="expression" dxfId="1276" priority="607" stopIfTrue="1">
      <formula>#REF!="text"</formula>
    </cfRule>
    <cfRule type="expression" dxfId="1275" priority="608" stopIfTrue="1">
      <formula>#REF!="end repeat"</formula>
    </cfRule>
    <cfRule type="expression" dxfId="1274" priority="609" stopIfTrue="1">
      <formula>#REF!="begin repeat"</formula>
    </cfRule>
    <cfRule type="expression" dxfId="1273" priority="610" stopIfTrue="1">
      <formula>#REF!="end group"</formula>
    </cfRule>
    <cfRule type="expression" dxfId="1272" priority="611" stopIfTrue="1">
      <formula>#REF!="begin group"</formula>
    </cfRule>
    <cfRule type="expression" dxfId="1271" priority="612" stopIfTrue="1">
      <formula>#REF!="comments"</formula>
    </cfRule>
    <cfRule type="expression" dxfId="1270" priority="613" stopIfTrue="1">
      <formula>OR(#REF!="audio", #REF!="video")</formula>
    </cfRule>
    <cfRule type="expression" dxfId="1269" priority="614" stopIfTrue="1">
      <formula>#REF!="image"</formula>
    </cfRule>
    <cfRule type="expression" dxfId="1268" priority="615" stopIfTrue="1">
      <formula>OR(#REF!="date", #REF!="datetime")</formula>
    </cfRule>
    <cfRule type="expression" dxfId="1267" priority="616" stopIfTrue="1">
      <formula>OR(#REF!="calculate", #REF!="calculate_here")</formula>
    </cfRule>
    <cfRule type="expression" dxfId="1266" priority="617" stopIfTrue="1">
      <formula>#REF!="note"</formula>
    </cfRule>
    <cfRule type="expression" dxfId="1265" priority="618" stopIfTrue="1">
      <formula>#REF!="barcode"</formula>
    </cfRule>
  </conditionalFormatting>
  <conditionalFormatting sqref="H648">
    <cfRule type="expression" dxfId="1264" priority="2" stopIfTrue="1">
      <formula>$C648="note"</formula>
    </cfRule>
    <cfRule type="expression" dxfId="1263" priority="3" stopIfTrue="1">
      <formula>OR($C648="audio audit", $C648="text audit", $C648="speed violations count", $C648="speed violations list", $C648="speed violations audit")</formula>
    </cfRule>
    <cfRule type="expression" dxfId="1262" priority="4" stopIfTrue="1">
      <formula>$C648="barcode"</formula>
    </cfRule>
    <cfRule type="expression" dxfId="1261" priority="5" stopIfTrue="1">
      <formula>$C648="comments"</formula>
    </cfRule>
  </conditionalFormatting>
  <conditionalFormatting sqref="H470:I477 M497:M499 J498:K499 C1:E1 D11:E11 C12:E12 L498:M506 M616:Q619 M620:N622 G11:U12 C14:E24 E14:E25 F14:H31 C26:E31 C33:U38 C40:U69 C71:E81 F71:U84 D82:E84 H86:U86 C86:G96 D98:U103 C105:U108 F110:K110 M110:U110 D110:E114 F111:U115 C115:E115 H117:U128 C117:G130 H129:K130 M129:U130 D132:K132 M132:U132 C133:U137 C139:G151 C160:E160 E160:G180 C164:E166 C168:E168 C170:E170 G182:K182 M182:U182 I183:U183 C189:E190 E189:U192 H245:H279 H284:H295 R314 H324:U328 L329:N402 J329:K445 H329:I468 O329:U468 K403:N404 M405:N445 L405:L468 J446:N468 H469:U469 C530:U530 C532:U534 C536:K536 M536:O536 Q536:U536 H545:K545 M545:U545 H546:Q549 N550:Q583 I550:I596 M550:M596 J550:K598 C609:U609 C611:U612 C614:U614 H616:K623 O620 Q620 O621:Q621 O622 Q622 L623:Q623 C634:U646 C648:U652 D654:E655 F654:U656 C656:E656 C659:U665 C689:U689 I14:Q24 R14:U31 I26:Q31 H87:I91 L87:M91 O87:U91 J89:K91 N89:N91 H92:U96 I139:U151 I160:U180 H202:U202 N584:O585 Q584:Q585 N586:Q590 N591:O592 Q591:Q592 N593:N596 R667 H160 H162:H180">
    <cfRule type="expression" dxfId="1260" priority="215" stopIfTrue="1">
      <formula>$C1="barcode"</formula>
    </cfRule>
  </conditionalFormatting>
  <conditionalFormatting sqref="H228:K233">
    <cfRule type="expression" dxfId="1259" priority="619" stopIfTrue="1">
      <formula>$C228="end repeat"</formula>
    </cfRule>
  </conditionalFormatting>
  <conditionalFormatting sqref="H33:N38 R33:U38 H14:H31 R29:U31 H183:U183">
    <cfRule type="expression" dxfId="1258" priority="477" stopIfTrue="1">
      <formula>OR($C14="date", $C14="datetime")</formula>
    </cfRule>
  </conditionalFormatting>
  <conditionalFormatting sqref="H203:N235 H245:H280 M182:U182 C183:U187 O211:Q235 G238:U238 C203:G242 J584:K601 C71:G81 C200:U201 C298:U312 H160:H180 E182:K182 O244:Q247 I244:K280 N244:N280 L246:M280 O257:Q280 M314:U314 C616:I623 L648 R203:U236 H236:Q236 H237:U237 H239:U242 R244:U280 I281:U281 H282:U282 I283:U283 H284:U295 I296:U296 C314:F314 H314:K314 G314:G320 G322 L497:L519 M501:M519 H520:N528 C545:G601 H550:I601 L550:L601 R550:U601 M586:N601 O593:Q601 C602:U607 C625:U625 C626:K626 M626:U626 C627:U628 L244:M244">
    <cfRule type="expression" dxfId="1257" priority="620" stopIfTrue="1">
      <formula>$C71="comments"</formula>
    </cfRule>
  </conditionalFormatting>
  <conditionalFormatting sqref="I597 M597:N597 K597:K598 N598">
    <cfRule type="expression" dxfId="1256" priority="621" stopIfTrue="1">
      <formula>OR(AND(LEFT($C597, 16)="select_multiple ", LEN($C597)&gt;16, NOT(ISNUMBER(SEARCH(" ", $C597, 17)))), AND(LEFT($C597, 11)="select_one ", LEN($C597)&gt;11, NOT(ISNUMBER(SEARCH(" ", $C597, 12)))))</formula>
    </cfRule>
    <cfRule type="expression" dxfId="1255" priority="622" stopIfTrue="1">
      <formula>$C597="decimal"</formula>
    </cfRule>
    <cfRule type="expression" dxfId="1254" priority="623" stopIfTrue="1">
      <formula>$C597="integer"</formula>
    </cfRule>
    <cfRule type="expression" dxfId="1253" priority="624" stopIfTrue="1">
      <formula>$C597="text"</formula>
    </cfRule>
    <cfRule type="expression" dxfId="1252" priority="625" stopIfTrue="1">
      <formula>$C597="end repeat"</formula>
    </cfRule>
  </conditionalFormatting>
  <conditionalFormatting sqref="I87:K88 N87:N88 Q324:Q326 I423:K423 M423:O423 Q430 Q433:Q434 Q441 Q444:Q445 I498 M498:N498 I500:Q500 I512:I514 M512:N514 Q521:Q523 P536 I579:K579 M579:O579 I584:I585 M584:N585 P584:P585 I591:I592 M591:N592 P591:P592 I598:K598 M598:N598 Q329 Q333:Q334 Q357:Q358 Q400 Q408:Q410 Q413:Q415 Q417 Q419">
    <cfRule type="expression" dxfId="1251" priority="627" stopIfTrue="1">
      <formula>OR($C87="calculate", $C87="calculate_here")</formula>
    </cfRule>
  </conditionalFormatting>
  <conditionalFormatting sqref="I87:K88 N87:N88">
    <cfRule type="expression" dxfId="1250" priority="1237" stopIfTrue="1">
      <formula>$C87="image"</formula>
    </cfRule>
  </conditionalFormatting>
  <conditionalFormatting sqref="I579:K597 M591:N597 J597:K598 I500:Q500 C203:G233 P576:Q579 O203:Q208 M498:N499 O521:O523 O524:Q528 I530:Q530 E534:G534 M423:O423 Q521:Q523 M579:O579 L405:L477 O576:O578">
    <cfRule type="expression" dxfId="1249" priority="1234" stopIfTrue="1">
      <formula>$C203="image"</formula>
    </cfRule>
  </conditionalFormatting>
  <conditionalFormatting sqref="I598:K598 M598:N598 I500:Q500 M512:N514 I579:K579 I584:I585 I591:I592 M591:N592 I423:K423 M579:O579 I87:K88 O324:Q326 O424:Q445 O536:Q536 M498:N498 I501:I514 N87:N88 M423:O423 M584:N585 P584:P585 P591:P592 I498:I499 Q521:Q523">
    <cfRule type="expression" dxfId="1248" priority="626" stopIfTrue="1">
      <formula>OR($C87="date", $C87="datetime")</formula>
    </cfRule>
  </conditionalFormatting>
  <conditionalFormatting sqref="I598:K598 M598:N598 M580:Q590 O591:Q592 P536 P625:P628 L129:L130 L545 L616:L623 P620 P622">
    <cfRule type="expression" dxfId="1247" priority="868" stopIfTrue="1">
      <formula>$C129="image"</formula>
    </cfRule>
  </conditionalFormatting>
  <conditionalFormatting sqref="I160:N180 I183:N183">
    <cfRule type="expression" dxfId="1246" priority="632" stopIfTrue="1">
      <formula>$C160="integer"</formula>
    </cfRule>
  </conditionalFormatting>
  <conditionalFormatting sqref="I171:N180">
    <cfRule type="expression" dxfId="1245" priority="630" stopIfTrue="1">
      <formula>OR($C171="calculate", $C171="calculate_here")</formula>
    </cfRule>
    <cfRule type="expression" dxfId="1244" priority="631" stopIfTrue="1">
      <formula>OR($C171="date", $C171="datetime")</formula>
    </cfRule>
  </conditionalFormatting>
  <conditionalFormatting sqref="I183:N183 I160:N180">
    <cfRule type="expression" dxfId="1243" priority="628" stopIfTrue="1">
      <formula>$C160="end repeat"</formula>
    </cfRule>
  </conditionalFormatting>
  <conditionalFormatting sqref="I160:Q160 I161:N180 D182:G182 I139:U151 D153:E155 F153:G158 C156:E158 C160:G161 D654:E655 F654:G656 C656:E656 R160:U180">
    <cfRule type="expression" dxfId="1242" priority="629" stopIfTrue="1">
      <formula>$C139="image"</formula>
    </cfRule>
  </conditionalFormatting>
  <conditionalFormatting sqref="I228:Q233">
    <cfRule type="expression" dxfId="1241" priority="1815" stopIfTrue="1">
      <formula>$C228="text"</formula>
    </cfRule>
  </conditionalFormatting>
  <conditionalFormatting sqref="I244:Q244">
    <cfRule type="expression" dxfId="1240" priority="634" stopIfTrue="1">
      <formula>$C244="image"</formula>
    </cfRule>
    <cfRule type="expression" dxfId="1239" priority="635" stopIfTrue="1">
      <formula>$C244="note"</formula>
    </cfRule>
    <cfRule type="expression" dxfId="1238" priority="636" stopIfTrue="1">
      <formula>$C244="barcode"</formula>
    </cfRule>
    <cfRule type="expression" dxfId="1237" priority="637" stopIfTrue="1">
      <formula>OR($C244="geopoint", $C244="geoshape", $C244="geotrace")</formula>
    </cfRule>
    <cfRule type="expression" dxfId="1236" priority="638" stopIfTrue="1">
      <formula>OR($C244="audio audit", $C244="text audit", $C244="speed violations count", $C244="speed violations list", $C244="speed violations audit")</formula>
    </cfRule>
    <cfRule type="expression" dxfId="1235" priority="639" stopIfTrue="1">
      <formula>OR($C244="username", $C244="phonenumber", $C244="start", $C244="end", $C244="deviceid", $C244="subscriberid", $C244="simserial", $C244="caseid")</formula>
    </cfRule>
    <cfRule type="expression" dxfId="1234" priority="640" stopIfTrue="1">
      <formula>OR(AND(LEFT($C244, 16)="select_multiple ", LEN($C244)&gt;16, NOT(ISNUMBER(SEARCH(" ", $C244, 17)))), AND(LEFT($C244, 11)="select_one ", LEN($C244)&gt;11, NOT(ISNUMBER(SEARCH(" ", $C244, 12)))))</formula>
    </cfRule>
  </conditionalFormatting>
  <conditionalFormatting sqref="I281:Q281">
    <cfRule type="expression" dxfId="1233" priority="641" stopIfTrue="1">
      <formula>$C281="image"</formula>
    </cfRule>
    <cfRule type="expression" dxfId="1232" priority="642" stopIfTrue="1">
      <formula>$C281="note"</formula>
    </cfRule>
    <cfRule type="expression" dxfId="1231" priority="643" stopIfTrue="1">
      <formula>$C281="barcode"</formula>
    </cfRule>
    <cfRule type="expression" dxfId="1230" priority="644" stopIfTrue="1">
      <formula>OR($C281="geopoint", $C281="geoshape", $C281="geotrace")</formula>
    </cfRule>
    <cfRule type="expression" dxfId="1229" priority="645" stopIfTrue="1">
      <formula>OR($C281="audio audit", $C281="text audit", $C281="speed violations count", $C281="speed violations list", $C281="speed violations audit")</formula>
    </cfRule>
    <cfRule type="expression" dxfId="1228" priority="646" stopIfTrue="1">
      <formula>OR($C281="username", $C281="phonenumber", $C281="start", $C281="end", $C281="deviceid", $C281="subscriberid", $C281="simserial", $C281="caseid")</formula>
    </cfRule>
    <cfRule type="expression" dxfId="1227" priority="647" stopIfTrue="1">
      <formula>OR(AND(LEFT($C281, 16)="select_multiple ", LEN($C281)&gt;16, NOT(ISNUMBER(SEARCH(" ", $C281, 17)))), AND(LEFT($C281, 11)="select_one ", LEN($C281)&gt;11, NOT(ISNUMBER(SEARCH(" ", $C281, 12)))))</formula>
    </cfRule>
  </conditionalFormatting>
  <conditionalFormatting sqref="I283:Q283">
    <cfRule type="expression" dxfId="1226" priority="648" stopIfTrue="1">
      <formula>$C283="image"</formula>
    </cfRule>
    <cfRule type="expression" dxfId="1225" priority="649" stopIfTrue="1">
      <formula>$C283="note"</formula>
    </cfRule>
    <cfRule type="expression" dxfId="1224" priority="650" stopIfTrue="1">
      <formula>$C283="barcode"</formula>
    </cfRule>
    <cfRule type="expression" dxfId="1223" priority="651" stopIfTrue="1">
      <formula>OR($C283="geopoint", $C283="geoshape", $C283="geotrace")</formula>
    </cfRule>
    <cfRule type="expression" dxfId="1222" priority="652" stopIfTrue="1">
      <formula>OR($C283="audio audit", $C283="text audit", $C283="speed violations count", $C283="speed violations list", $C283="speed violations audit")</formula>
    </cfRule>
    <cfRule type="expression" dxfId="1221" priority="653" stopIfTrue="1">
      <formula>OR($C283="username", $C283="phonenumber", $C283="start", $C283="end", $C283="deviceid", $C283="subscriberid", $C283="simserial", $C283="caseid")</formula>
    </cfRule>
    <cfRule type="expression" dxfId="1220" priority="654" stopIfTrue="1">
      <formula>OR(AND(LEFT($C283, 16)="select_multiple ", LEN($C283)&gt;16, NOT(ISNUMBER(SEARCH(" ", $C283, 17)))), AND(LEFT($C283, 11)="select_one ", LEN($C283)&gt;11, NOT(ISNUMBER(SEARCH(" ", $C283, 12)))))</formula>
    </cfRule>
  </conditionalFormatting>
  <conditionalFormatting sqref="I296:Q296">
    <cfRule type="expression" dxfId="1219" priority="655" stopIfTrue="1">
      <formula>$C296="image"</formula>
    </cfRule>
    <cfRule type="expression" dxfId="1218" priority="656" stopIfTrue="1">
      <formula>$C296="note"</formula>
    </cfRule>
    <cfRule type="expression" dxfId="1217" priority="657" stopIfTrue="1">
      <formula>$C296="barcode"</formula>
    </cfRule>
    <cfRule type="expression" dxfId="1216" priority="658" stopIfTrue="1">
      <formula>OR($C296="geopoint", $C296="geoshape", $C296="geotrace")</formula>
    </cfRule>
    <cfRule type="expression" dxfId="1215" priority="659" stopIfTrue="1">
      <formula>OR($C296="audio audit", $C296="text audit", $C296="speed violations count", $C296="speed violations list", $C296="speed violations audit")</formula>
    </cfRule>
    <cfRule type="expression" dxfId="1214" priority="660" stopIfTrue="1">
      <formula>OR($C296="username", $C296="phonenumber", $C296="start", $C296="end", $C296="deviceid", $C296="subscriberid", $C296="simserial", $C296="caseid")</formula>
    </cfRule>
    <cfRule type="expression" dxfId="1213" priority="661" stopIfTrue="1">
      <formula>OR(AND(LEFT($C296, 16)="select_multiple ", LEN($C296)&gt;16, NOT(ISNUMBER(SEARCH(" ", $C296, 17)))), AND(LEFT($C296, 11)="select_one ", LEN($C296)&gt;11, NOT(ISNUMBER(SEARCH(" ", $C296, 12)))))</formula>
    </cfRule>
  </conditionalFormatting>
  <conditionalFormatting sqref="I324:Q327 J648:Q652 R11:U11 J634:Q646">
    <cfRule type="expression" dxfId="1212" priority="678" stopIfTrue="1">
      <formula>$C11="text"</formula>
    </cfRule>
  </conditionalFormatting>
  <conditionalFormatting sqref="I139:U151 C160:G160 O160:Q171 I160:N180 R160:U180 Q172:Q177 O178:Q180 R12:U12 R14:U14 R22:U26 C2:G2 Q205:Q206 O207:Q208 I183:U183 D654:E655 F654:G656 C656:E656 P209:Q215">
    <cfRule type="expression" dxfId="1211" priority="666" stopIfTrue="1">
      <formula>OR($C2="username", $C2="phonenumber", $C2="start", $C2="end", $C2="deviceid", $C2="subscriberid", $C2="simserial", $C2="caseid")</formula>
    </cfRule>
  </conditionalFormatting>
  <conditionalFormatting sqref="I139:U151 C160:G161 I160:N170 O160:U180 R14:U31 O228:Q233 R33:U38 H12:U12 D82:G84 I89:N91 I92:U96 D110:E114 F110:G115 C115:E115 D132:E132 F132:G137 C133:E137 I14:Q24 I26:N31 H40:H44 I40:U69 O87:U91">
    <cfRule type="expression" dxfId="1210" priority="664" stopIfTrue="1">
      <formula>OR($C12="date", $C12="datetime")</formula>
    </cfRule>
  </conditionalFormatting>
  <conditionalFormatting sqref="I139:U151 C160:G161 I160:U180 D182:E182 C166:G166 C168:G168 H150:H151">
    <cfRule type="expression" dxfId="1209" priority="665" stopIfTrue="1">
      <formula>$C139="comments"</formula>
    </cfRule>
  </conditionalFormatting>
  <conditionalFormatting sqref="I160:U180 I139:U151 C160:G160 D182:G182 J210:K215 O210:O215 H238">
    <cfRule type="expression" dxfId="1208" priority="663" stopIfTrue="1">
      <formula>$C139="decimal"</formula>
    </cfRule>
  </conditionalFormatting>
  <conditionalFormatting sqref="J87:K88 N87:N88">
    <cfRule type="expression" dxfId="1207" priority="667" stopIfTrue="1">
      <formula>$C87="note"</formula>
    </cfRule>
    <cfRule type="expression" dxfId="1206" priority="668" stopIfTrue="1">
      <formula>$C87="barcode"</formula>
    </cfRule>
  </conditionalFormatting>
  <conditionalFormatting sqref="J191:K191">
    <cfRule type="expression" dxfId="1205" priority="669" stopIfTrue="1">
      <formula>OR(AND(LEFT($C191, 16)="select_multiple ", LEN($C191)&gt;16, NOT(ISNUMBER(SEARCH(" ", $C191, 17)))), AND(LEFT($C191, 11)="select_one ", LEN($C191)&gt;11, NOT(ISNUMBER(SEARCH(" ", $C191, 12)))))</formula>
    </cfRule>
    <cfRule type="expression" dxfId="1204" priority="670" stopIfTrue="1">
      <formula>$C191="begin repeat"</formula>
    </cfRule>
  </conditionalFormatting>
  <conditionalFormatting sqref="J210:K215 N482:N485">
    <cfRule type="expression" dxfId="1203" priority="1593" stopIfTrue="1">
      <formula>$C210="barcode"</formula>
    </cfRule>
  </conditionalFormatting>
  <conditionalFormatting sqref="J210:K215 O210:O215 H238">
    <cfRule type="expression" dxfId="1202" priority="671" stopIfTrue="1">
      <formula>$C210="integer"</formula>
    </cfRule>
  </conditionalFormatting>
  <conditionalFormatting sqref="J210:K215">
    <cfRule type="expression" dxfId="1201" priority="672" stopIfTrue="1">
      <formula>OR($C210="calculate", $C210="calculate_here")</formula>
    </cfRule>
  </conditionalFormatting>
  <conditionalFormatting sqref="J228:K233">
    <cfRule type="expression" dxfId="1200" priority="673" stopIfTrue="1">
      <formula>$C228="begin repeat"</formula>
    </cfRule>
    <cfRule type="expression" dxfId="1199" priority="674" stopIfTrue="1">
      <formula>$C228="end group"</formula>
    </cfRule>
  </conditionalFormatting>
  <conditionalFormatting sqref="J321:Q321 J631:Q631">
    <cfRule type="expression" dxfId="1198" priority="675" stopIfTrue="1">
      <formula>$C321="end repeat"</formula>
    </cfRule>
  </conditionalFormatting>
  <conditionalFormatting sqref="J542:Q542">
    <cfRule type="expression" dxfId="1197" priority="677" stopIfTrue="1">
      <formula>$C542="end repeat"</formula>
    </cfRule>
  </conditionalFormatting>
  <conditionalFormatting sqref="J634:Q646 J648:Q652 R11:U11 I324:K327 M324:Q327">
    <cfRule type="expression" dxfId="1196" priority="1860" stopIfTrue="1">
      <formula>$C11="end repeat"</formula>
    </cfRule>
  </conditionalFormatting>
  <conditionalFormatting sqref="J321:U321 J631:Q631">
    <cfRule type="expression" dxfId="1195" priority="676" stopIfTrue="1">
      <formula>$C321="text"</formula>
    </cfRule>
  </conditionalFormatting>
  <conditionalFormatting sqref="J542:U542">
    <cfRule type="expression" dxfId="1194" priority="679" stopIfTrue="1">
      <formula>$C542="text"</formula>
    </cfRule>
  </conditionalFormatting>
  <conditionalFormatting sqref="K87:K88">
    <cfRule type="expression" dxfId="1193" priority="680" stopIfTrue="1">
      <formula>$C87="decimal"</formula>
    </cfRule>
    <cfRule type="expression" dxfId="1192" priority="681" stopIfTrue="1">
      <formula>$C87="integer"</formula>
    </cfRule>
    <cfRule type="expression" dxfId="1191" priority="682" stopIfTrue="1">
      <formula>$C87="text"</formula>
    </cfRule>
    <cfRule type="expression" dxfId="1190" priority="683" stopIfTrue="1">
      <formula>$C87="end repeat"</formula>
    </cfRule>
    <cfRule type="expression" dxfId="1189" priority="684" stopIfTrue="1">
      <formula>OR(AND(LEFT($C87, 16)="select_multiple ", LEN($C87)&gt;16, NOT(ISNUMBER(SEARCH(" ", $C87, 17)))), AND(LEFT($C87, 11)="select_one ", LEN($C87)&gt;11, NOT(ISNUMBER(SEARCH(" ", $C87, 12)))))</formula>
    </cfRule>
    <cfRule type="expression" dxfId="1188" priority="685" stopIfTrue="1">
      <formula>$C87="begin repeat"</formula>
    </cfRule>
    <cfRule type="expression" dxfId="1187" priority="686" stopIfTrue="1">
      <formula>$C87="end group"</formula>
    </cfRule>
    <cfRule type="expression" dxfId="1186" priority="687" stopIfTrue="1">
      <formula>$C87="begin group"</formula>
    </cfRule>
    <cfRule type="expression" dxfId="1185" priority="688" stopIfTrue="1">
      <formula>$C87="image"</formula>
    </cfRule>
    <cfRule type="expression" dxfId="1184" priority="689" stopIfTrue="1">
      <formula>OR($C87="date", $C87="datetime")</formula>
    </cfRule>
    <cfRule type="expression" dxfId="1183" priority="690" stopIfTrue="1">
      <formula>OR($C87="calculate", $C87="calculate_here")</formula>
    </cfRule>
  </conditionalFormatting>
  <conditionalFormatting sqref="K238">
    <cfRule type="expression" dxfId="1182" priority="691" stopIfTrue="1">
      <formula>$C238="begin group"</formula>
    </cfRule>
    <cfRule type="expression" dxfId="1181" priority="692" stopIfTrue="1">
      <formula>$C238="begin repeat"</formula>
    </cfRule>
    <cfRule type="expression" dxfId="1180" priority="693" stopIfTrue="1">
      <formula>$C238="end group"</formula>
    </cfRule>
    <cfRule type="expression" dxfId="1179" priority="694" stopIfTrue="1">
      <formula>OR($C238="audio audit", $C238="text audit", $C238="speed violations count", $C238="speed violations list", $C238="speed violations audit")</formula>
    </cfRule>
    <cfRule type="expression" dxfId="1178" priority="695" stopIfTrue="1">
      <formula>OR(AND(LEFT($C238, 16)="select_multiple ", LEN($C238)&gt;16, NOT(ISNUMBER(SEARCH(" ", $C238, 17)))), AND(LEFT($C238, 11)="select_one ", LEN($C238)&gt;11, NOT(ISNUMBER(SEARCH(" ", $C238, 12)))))</formula>
    </cfRule>
    <cfRule type="expression" dxfId="1177" priority="696" stopIfTrue="1">
      <formula>$C238="decimal"</formula>
    </cfRule>
    <cfRule type="expression" dxfId="1176" priority="697" stopIfTrue="1">
      <formula>$C238="integer"</formula>
    </cfRule>
    <cfRule type="expression" dxfId="1175" priority="698" stopIfTrue="1">
      <formula>$C238="text"</formula>
    </cfRule>
    <cfRule type="expression" dxfId="1174" priority="699" stopIfTrue="1">
      <formula>$C238="end repeat"</formula>
    </cfRule>
  </conditionalFormatting>
  <conditionalFormatting sqref="K245 N245 K288 N288 K302 N302">
    <cfRule type="expression" dxfId="1173" priority="700" stopIfTrue="1">
      <formula>$C245="end repeat"</formula>
    </cfRule>
    <cfRule type="expression" dxfId="1172" priority="701" stopIfTrue="1">
      <formula>$C245="begin repeat"</formula>
    </cfRule>
    <cfRule type="expression" dxfId="1171" priority="702" stopIfTrue="1">
      <formula>$C245="end group"</formula>
    </cfRule>
    <cfRule type="expression" dxfId="1170" priority="703" stopIfTrue="1">
      <formula>$C245="begin group"</formula>
    </cfRule>
    <cfRule type="expression" dxfId="1169" priority="704" stopIfTrue="1">
      <formula>$C245="integer"</formula>
    </cfRule>
  </conditionalFormatting>
  <conditionalFormatting sqref="K245 N245 K288 N288">
    <cfRule type="expression" dxfId="1168" priority="705" stopIfTrue="1">
      <formula>OR($C245="username", $C245="phonenumber", $C245="start", $C245="end", $C245="deviceid", $C245="subscriberid", $C245="simserial", $C245="caseid")</formula>
    </cfRule>
  </conditionalFormatting>
  <conditionalFormatting sqref="K249:K256">
    <cfRule type="expression" dxfId="1167" priority="706" stopIfTrue="1">
      <formula>OR(AND(LEFT($C249, 16)="select_multiple ", LEN($C249)&gt;16, NOT(ISNUMBER(SEARCH(" ", $C249, 17)))), AND(LEFT($C249, 11)="select_one ", LEN($C249)&gt;11, NOT(ISNUMBER(SEARCH(" ", $C249, 12)))))</formula>
    </cfRule>
    <cfRule type="expression" dxfId="1166" priority="707" stopIfTrue="1">
      <formula>$C249="decimal"</formula>
    </cfRule>
    <cfRule type="expression" dxfId="1165" priority="708" stopIfTrue="1">
      <formula>$C249="integer"</formula>
    </cfRule>
    <cfRule type="expression" dxfId="1164" priority="709" stopIfTrue="1">
      <formula>$C249="text"</formula>
    </cfRule>
    <cfRule type="expression" dxfId="1163" priority="710" stopIfTrue="1">
      <formula>$C249="end repeat"</formula>
    </cfRule>
    <cfRule type="expression" dxfId="1162" priority="711" stopIfTrue="1">
      <formula>$C249="begin repeat"</formula>
    </cfRule>
    <cfRule type="expression" dxfId="1161" priority="712" stopIfTrue="1">
      <formula>$C249="end group"</formula>
    </cfRule>
    <cfRule type="expression" dxfId="1160" priority="713" stopIfTrue="1">
      <formula>$C249="begin group"</formula>
    </cfRule>
    <cfRule type="expression" dxfId="1159" priority="714" stopIfTrue="1">
      <formula>$C249="note"</formula>
    </cfRule>
    <cfRule type="expression" dxfId="1158" priority="715" stopIfTrue="1">
      <formula>$C249="barcode"</formula>
    </cfRule>
    <cfRule type="expression" dxfId="1157" priority="716" stopIfTrue="1">
      <formula>$C249="note"</formula>
    </cfRule>
    <cfRule type="expression" dxfId="1156" priority="717" stopIfTrue="1">
      <formula>$C249="barcode"</formula>
    </cfRule>
    <cfRule type="expression" dxfId="1155" priority="718" stopIfTrue="1">
      <formula>OR($C249="geopoint", $C249="geoshape", $C249="geotrace")</formula>
    </cfRule>
    <cfRule type="expression" dxfId="1154" priority="719" stopIfTrue="1">
      <formula>OR($C249="audio audit", $C249="text audit", $C249="speed violations count", $C249="speed violations list", $C249="speed violations audit")</formula>
    </cfRule>
    <cfRule type="expression" dxfId="1153" priority="720" stopIfTrue="1">
      <formula>OR($C249="username", $C249="phonenumber", $C249="start", $C249="end", $C249="deviceid", $C249="subscriberid", $C249="simserial", $C249="caseid")</formula>
    </cfRule>
    <cfRule type="expression" dxfId="1152" priority="721" stopIfTrue="1">
      <formula>OR(AND(LEFT($C249, 16)="select_multiple ", LEN($C249)&gt;16, NOT(ISNUMBER(SEARCH(" ", $C249, 17)))), AND(LEFT($C249, 11)="select_one ", LEN($C249)&gt;11, NOT(ISNUMBER(SEARCH(" ", $C249, 12)))))</formula>
    </cfRule>
    <cfRule type="expression" dxfId="1151" priority="722" stopIfTrue="1">
      <formula>$C249="decimal"</formula>
    </cfRule>
    <cfRule type="expression" dxfId="1150" priority="723" stopIfTrue="1">
      <formula>$C249="integer"</formula>
    </cfRule>
    <cfRule type="expression" dxfId="1149" priority="724" stopIfTrue="1">
      <formula>$C249="text"</formula>
    </cfRule>
    <cfRule type="expression" dxfId="1148" priority="725" stopIfTrue="1">
      <formula>$C249="end repeat"</formula>
    </cfRule>
    <cfRule type="expression" dxfId="1147" priority="726" stopIfTrue="1">
      <formula>$C249="begin repeat"</formula>
    </cfRule>
    <cfRule type="expression" dxfId="1146" priority="727" stopIfTrue="1">
      <formula>$C249="end group"</formula>
    </cfRule>
    <cfRule type="expression" dxfId="1145" priority="728" stopIfTrue="1">
      <formula>$C249="begin group"</formula>
    </cfRule>
  </conditionalFormatting>
  <conditionalFormatting sqref="K271:K278">
    <cfRule type="expression" dxfId="1144" priority="729" stopIfTrue="1">
      <formula>$C271="end group"</formula>
    </cfRule>
    <cfRule type="expression" dxfId="1143" priority="730" stopIfTrue="1">
      <formula>$C271="begin group"</formula>
    </cfRule>
    <cfRule type="expression" dxfId="1142" priority="731" stopIfTrue="1">
      <formula>$C271="note"</formula>
    </cfRule>
    <cfRule type="expression" dxfId="1141" priority="732" stopIfTrue="1">
      <formula>$C271="barcode"</formula>
    </cfRule>
    <cfRule type="expression" dxfId="1140" priority="733" stopIfTrue="1">
      <formula>OR($C271="audio", $C271="video")</formula>
    </cfRule>
    <cfRule type="expression" dxfId="1139" priority="734" stopIfTrue="1">
      <formula>$C271="image"</formula>
    </cfRule>
    <cfRule type="expression" dxfId="1138" priority="735" stopIfTrue="1">
      <formula>OR($C271="date", $C271="datetime")</formula>
    </cfRule>
    <cfRule type="expression" dxfId="1137" priority="736" stopIfTrue="1">
      <formula>OR($C271="calculate", $C271="calculate_here")</formula>
    </cfRule>
    <cfRule type="expression" dxfId="1136" priority="737" stopIfTrue="1">
      <formula>$C271="integer"</formula>
    </cfRule>
    <cfRule type="expression" dxfId="1135" priority="738" stopIfTrue="1">
      <formula>$C271="end repeat"</formula>
    </cfRule>
    <cfRule type="expression" dxfId="1134" priority="739" stopIfTrue="1">
      <formula>$C271="begin repeat"</formula>
    </cfRule>
    <cfRule type="expression" dxfId="1133" priority="740" stopIfTrue="1">
      <formula>$C271="end group"</formula>
    </cfRule>
    <cfRule type="expression" dxfId="1132" priority="741" stopIfTrue="1">
      <formula>$C271="begin group"</formula>
    </cfRule>
  </conditionalFormatting>
  <conditionalFormatting sqref="K498 K500">
    <cfRule type="expression" dxfId="1131" priority="742" stopIfTrue="1">
      <formula>OR($C498="geopoint", $C498="geoshape", $C498="geotrace")</formula>
    </cfRule>
    <cfRule type="expression" dxfId="1130" priority="743" stopIfTrue="1">
      <formula>OR($C498="audio audit", $C498="text audit", $C498="speed violations count", $C498="speed violations list", $C498="speed violations audit")</formula>
    </cfRule>
    <cfRule type="expression" dxfId="1129" priority="744" stopIfTrue="1">
      <formula>OR($C498="username", $C498="phonenumber", $C498="start", $C498="end", $C498="deviceid", $C498="subscriberid", $C498="simserial", $C498="caseid")</formula>
    </cfRule>
    <cfRule type="expression" dxfId="1128" priority="745" stopIfTrue="1">
      <formula>OR(AND(LEFT($C498, 16)="select_multiple ", LEN($C498)&gt;16, NOT(ISNUMBER(SEARCH(" ", $C498, 17)))), AND(LEFT($C498, 11)="select_one ", LEN($C498)&gt;11, NOT(ISNUMBER(SEARCH(" ", $C498, 12)))))</formula>
    </cfRule>
    <cfRule type="expression" dxfId="1127" priority="746" stopIfTrue="1">
      <formula>$C498="decimal"</formula>
    </cfRule>
    <cfRule type="expression" dxfId="1126" priority="747" stopIfTrue="1">
      <formula>$C498="integer"</formula>
    </cfRule>
    <cfRule type="expression" dxfId="1125" priority="748" stopIfTrue="1">
      <formula>$C498="text"</formula>
    </cfRule>
    <cfRule type="expression" dxfId="1124" priority="749" stopIfTrue="1">
      <formula>$C498="end repeat"</formula>
    </cfRule>
    <cfRule type="expression" dxfId="1123" priority="750" stopIfTrue="1">
      <formula>$C498="begin repeat"</formula>
    </cfRule>
    <cfRule type="expression" dxfId="1122" priority="751" stopIfTrue="1">
      <formula>$C498="end group"</formula>
    </cfRule>
    <cfRule type="expression" dxfId="1121" priority="752" stopIfTrue="1">
      <formula>$C498="begin group"</formula>
    </cfRule>
    <cfRule type="expression" dxfId="1120" priority="753" stopIfTrue="1">
      <formula>$C498="note"</formula>
    </cfRule>
    <cfRule type="expression" dxfId="1119" priority="754" stopIfTrue="1">
      <formula>$C498="barcode"</formula>
    </cfRule>
    <cfRule type="expression" dxfId="1118" priority="755" stopIfTrue="1">
      <formula>$C498="note"</formula>
    </cfRule>
    <cfRule type="expression" dxfId="1117" priority="756" stopIfTrue="1">
      <formula>$C498="barcode"</formula>
    </cfRule>
    <cfRule type="expression" dxfId="1116" priority="757" stopIfTrue="1">
      <formula>$C498="begin repeat"</formula>
    </cfRule>
    <cfRule type="expression" dxfId="1115" priority="758" stopIfTrue="1">
      <formula>$C498="end group"</formula>
    </cfRule>
    <cfRule type="expression" dxfId="1114" priority="759" stopIfTrue="1">
      <formula>$C498="begin group"</formula>
    </cfRule>
  </conditionalFormatting>
  <conditionalFormatting sqref="K504 K506 K512:K514 K584:K585 K591:K592">
    <cfRule type="expression" dxfId="1113" priority="762" stopIfTrue="1">
      <formula>$C504="note"</formula>
    </cfRule>
  </conditionalFormatting>
  <conditionalFormatting sqref="K504 K506 K514 K584:K585 K591:K592 K618 K620 K622">
    <cfRule type="expression" dxfId="1112" priority="760" stopIfTrue="1">
      <formula>$C504="barcode"</formula>
    </cfRule>
    <cfRule type="expression" dxfId="1111" priority="761" stopIfTrue="1">
      <formula>$C504="integer"</formula>
    </cfRule>
  </conditionalFormatting>
  <conditionalFormatting sqref="K504 K506 K584:K585 K591:K592">
    <cfRule type="expression" dxfId="1110" priority="783" stopIfTrue="1">
      <formula>$C504="decimal"</formula>
    </cfRule>
    <cfRule type="expression" dxfId="1109" priority="790" stopIfTrue="1">
      <formula>$C504="barcode"</formula>
    </cfRule>
  </conditionalFormatting>
  <conditionalFormatting sqref="K512:K513">
    <cfRule type="expression" dxfId="1108" priority="776" stopIfTrue="1">
      <formula>$C512="note"</formula>
    </cfRule>
    <cfRule type="expression" dxfId="1107" priority="777" stopIfTrue="1">
      <formula>$C512="barcode"</formula>
    </cfRule>
    <cfRule type="expression" dxfId="1106" priority="778" stopIfTrue="1">
      <formula>$C512="comments"</formula>
    </cfRule>
    <cfRule type="expression" dxfId="1105" priority="780" stopIfTrue="1">
      <formula>$C512="image"</formula>
    </cfRule>
  </conditionalFormatting>
  <conditionalFormatting sqref="K512:K514">
    <cfRule type="expression" dxfId="1104" priority="764" stopIfTrue="1">
      <formula>$C512="barcode"</formula>
    </cfRule>
    <cfRule type="expression" dxfId="1103" priority="779" stopIfTrue="1">
      <formula>OR($C512="audio", $C512="video")</formula>
    </cfRule>
    <cfRule type="expression" dxfId="1102" priority="781" stopIfTrue="1">
      <formula>OR($C512="date", $C512="datetime")</formula>
    </cfRule>
    <cfRule type="expression" dxfId="1101" priority="782" stopIfTrue="1">
      <formula>OR($C512="calculate", $C512="calculate_here")</formula>
    </cfRule>
  </conditionalFormatting>
  <conditionalFormatting sqref="K513">
    <cfRule type="expression" dxfId="1100" priority="765" stopIfTrue="1">
      <formula>OR($C513="geopoint", $C513="geoshape", $C513="geotrace")</formula>
    </cfRule>
    <cfRule type="expression" dxfId="1099" priority="766" stopIfTrue="1">
      <formula>OR($C513="audio audit", $C513="text audit", $C513="speed violations count", $C513="speed violations list", $C513="speed violations audit")</formula>
    </cfRule>
    <cfRule type="expression" dxfId="1098" priority="767" stopIfTrue="1">
      <formula>OR($C513="username", $C513="phonenumber", $C513="start", $C513="end", $C513="deviceid", $C513="subscriberid", $C513="simserial", $C513="caseid")</formula>
    </cfRule>
    <cfRule type="expression" dxfId="1097" priority="768" stopIfTrue="1">
      <formula>OR(AND(LEFT($C513, 16)="select_multiple ", LEN($C513)&gt;16, NOT(ISNUMBER(SEARCH(" ", $C513, 17)))), AND(LEFT($C513, 11)="select_one ", LEN($C513)&gt;11, NOT(ISNUMBER(SEARCH(" ", $C513, 12)))))</formula>
    </cfRule>
    <cfRule type="expression" dxfId="1096" priority="770" stopIfTrue="1">
      <formula>$C513="integer"</formula>
    </cfRule>
    <cfRule type="expression" dxfId="1095" priority="771" stopIfTrue="1">
      <formula>$C513="text"</formula>
    </cfRule>
    <cfRule type="expression" dxfId="1094" priority="772" stopIfTrue="1">
      <formula>$C513="end repeat"</formula>
    </cfRule>
    <cfRule type="expression" dxfId="1093" priority="773" stopIfTrue="1">
      <formula>$C513="begin repeat"</formula>
    </cfRule>
    <cfRule type="expression" dxfId="1092" priority="774" stopIfTrue="1">
      <formula>$C513="end group"</formula>
    </cfRule>
    <cfRule type="expression" dxfId="1091" priority="775" stopIfTrue="1">
      <formula>$C513="begin group"</formula>
    </cfRule>
  </conditionalFormatting>
  <conditionalFormatting sqref="K513:K514">
    <cfRule type="expression" dxfId="1090" priority="769" stopIfTrue="1">
      <formula>$C513="decimal"</formula>
    </cfRule>
  </conditionalFormatting>
  <conditionalFormatting sqref="K514">
    <cfRule type="expression" dxfId="1089" priority="787" stopIfTrue="1">
      <formula>$C514="begin repeat"</formula>
    </cfRule>
    <cfRule type="expression" dxfId="1088" priority="788" stopIfTrue="1">
      <formula>$C514="end group"</formula>
    </cfRule>
  </conditionalFormatting>
  <conditionalFormatting sqref="K597">
    <cfRule type="expression" dxfId="1087" priority="791" stopIfTrue="1">
      <formula>$C597="note"</formula>
    </cfRule>
    <cfRule type="expression" dxfId="1086" priority="792" stopIfTrue="1">
      <formula>$C597="barcode"</formula>
    </cfRule>
    <cfRule type="expression" dxfId="1085" priority="793" stopIfTrue="1">
      <formula>$C597="note"</formula>
    </cfRule>
    <cfRule type="expression" dxfId="1084" priority="794" stopIfTrue="1">
      <formula>$C597="barcode"</formula>
    </cfRule>
    <cfRule type="expression" dxfId="1083" priority="795" stopIfTrue="1">
      <formula>$C597="comments"</formula>
    </cfRule>
    <cfRule type="expression" dxfId="1082" priority="796" stopIfTrue="1">
      <formula>OR($C597="audio", $C597="video")</formula>
    </cfRule>
    <cfRule type="expression" dxfId="1081" priority="797" stopIfTrue="1">
      <formula>$C597="image"</formula>
    </cfRule>
    <cfRule type="expression" dxfId="1080" priority="798" stopIfTrue="1">
      <formula>OR($C597="date", $C597="datetime")</formula>
    </cfRule>
    <cfRule type="expression" dxfId="1079" priority="799" stopIfTrue="1">
      <formula>OR($C597="calculate", $C597="calculate_here")</formula>
    </cfRule>
    <cfRule type="expression" dxfId="1078" priority="800" stopIfTrue="1">
      <formula>$C597="begin repeat"</formula>
    </cfRule>
    <cfRule type="expression" dxfId="1077" priority="801" stopIfTrue="1">
      <formula>$C597="end group"</formula>
    </cfRule>
    <cfRule type="expression" dxfId="1076" priority="802" stopIfTrue="1">
      <formula>$C597="begin group"</formula>
    </cfRule>
  </conditionalFormatting>
  <conditionalFormatting sqref="K597:K598 M597:N597 I597">
    <cfRule type="expression" dxfId="1075" priority="1233" stopIfTrue="1">
      <formula>OR($C597="username", $C597="phonenumber", $C597="start", $C597="end", $C597="deviceid", $C597="subscriberid", $C597="simserial", $C597="caseid")</formula>
    </cfRule>
  </conditionalFormatting>
  <conditionalFormatting sqref="K597:K598 N598:N601 M597:N597">
    <cfRule type="expression" dxfId="1074" priority="803" stopIfTrue="1">
      <formula>OR($C597="audio audit", $C597="text audit", $C597="speed violations count", $C597="speed violations list", $C597="speed violations audit")</formula>
    </cfRule>
  </conditionalFormatting>
  <conditionalFormatting sqref="K597:K598">
    <cfRule type="expression" dxfId="1073" priority="804" stopIfTrue="1">
      <formula>$C597="decimal"</formula>
    </cfRule>
    <cfRule type="expression" dxfId="1072" priority="805" stopIfTrue="1">
      <formula>$C597="integer"</formula>
    </cfRule>
    <cfRule type="expression" dxfId="1071" priority="806" stopIfTrue="1">
      <formula>$C597="text"</formula>
    </cfRule>
    <cfRule type="expression" dxfId="1070" priority="807" stopIfTrue="1">
      <formula>$C597="end repeat"</formula>
    </cfRule>
    <cfRule type="expression" dxfId="1069" priority="808" stopIfTrue="1">
      <formula>$C597="begin repeat"</formula>
    </cfRule>
    <cfRule type="expression" dxfId="1068" priority="809" stopIfTrue="1">
      <formula>$C597="end group"</formula>
    </cfRule>
    <cfRule type="expression" dxfId="1067" priority="810" stopIfTrue="1">
      <formula>$C597="begin group"</formula>
    </cfRule>
  </conditionalFormatting>
  <conditionalFormatting sqref="K598">
    <cfRule type="expression" dxfId="1066" priority="811" stopIfTrue="1">
      <formula>$C598="begin repeat"</formula>
    </cfRule>
    <cfRule type="expression" dxfId="1065" priority="812" stopIfTrue="1">
      <formula>$C598="end group"</formula>
    </cfRule>
    <cfRule type="expression" dxfId="1064" priority="813" stopIfTrue="1">
      <formula>$C598="begin group"</formula>
    </cfRule>
    <cfRule type="expression" dxfId="1063" priority="814" stopIfTrue="1">
      <formula>$C598="note"</formula>
    </cfRule>
    <cfRule type="expression" dxfId="1062" priority="815" stopIfTrue="1">
      <formula>$C598="barcode"</formula>
    </cfRule>
    <cfRule type="expression" dxfId="1061" priority="816" stopIfTrue="1">
      <formula>$C598="note"</formula>
    </cfRule>
    <cfRule type="expression" dxfId="1060" priority="817" stopIfTrue="1">
      <formula>$C598="barcode"</formula>
    </cfRule>
    <cfRule type="expression" dxfId="1059" priority="818" stopIfTrue="1">
      <formula>$C598="comments"</formula>
    </cfRule>
    <cfRule type="expression" dxfId="1058" priority="819" stopIfTrue="1">
      <formula>OR($C598="audio", $C598="video")</formula>
    </cfRule>
    <cfRule type="expression" dxfId="1057" priority="820" stopIfTrue="1">
      <formula>$C598="image"</formula>
    </cfRule>
    <cfRule type="expression" dxfId="1056" priority="821" stopIfTrue="1">
      <formula>OR($C598="date", $C598="datetime")</formula>
    </cfRule>
    <cfRule type="expression" dxfId="1055" priority="822" stopIfTrue="1">
      <formula>OR($C598="calculate", $C598="calculate_here")</formula>
    </cfRule>
  </conditionalFormatting>
  <conditionalFormatting sqref="K514:M514">
    <cfRule type="expression" dxfId="1054" priority="789" stopIfTrue="1">
      <formula>$C514="begin group"</formula>
    </cfRule>
    <cfRule type="expression" dxfId="1053" priority="1167" stopIfTrue="1">
      <formula>$C514="image"</formula>
    </cfRule>
  </conditionalFormatting>
  <conditionalFormatting sqref="K271:N278">
    <cfRule type="expression" dxfId="1052" priority="823" stopIfTrue="1">
      <formula>$C271="decimal"</formula>
    </cfRule>
    <cfRule type="expression" dxfId="1051" priority="824" stopIfTrue="1">
      <formula>$C271="text"</formula>
    </cfRule>
  </conditionalFormatting>
  <conditionalFormatting sqref="L11">
    <cfRule type="expression" dxfId="1050" priority="825" stopIfTrue="1">
      <formula>OR($C11="username", $C11="phonenumber", $C11="start", $C11="end", $C11="deviceid", $C11="subscriberid", $C11="simserial", $C11="caseid")</formula>
    </cfRule>
    <cfRule type="expression" dxfId="1049" priority="826" stopIfTrue="1">
      <formula>$C11="decimal"</formula>
    </cfRule>
    <cfRule type="expression" dxfId="1048" priority="827" stopIfTrue="1">
      <formula>$C11="integer"</formula>
    </cfRule>
    <cfRule type="expression" dxfId="1047" priority="828" stopIfTrue="1">
      <formula>$C11="begin repeat"</formula>
    </cfRule>
    <cfRule type="expression" dxfId="1046" priority="829" stopIfTrue="1">
      <formula>$C11="end group"</formula>
    </cfRule>
    <cfRule type="expression" dxfId="1045" priority="830" stopIfTrue="1">
      <formula>$C11="begin group"</formula>
    </cfRule>
  </conditionalFormatting>
  <conditionalFormatting sqref="L28">
    <cfRule type="expression" dxfId="1044" priority="831" stopIfTrue="1">
      <formula>OR($C28="audio audit", $C28="text audit", $C28="speed violations count", $C28="speed violations list", $C28="speed violations audit")</formula>
    </cfRule>
    <cfRule type="expression" dxfId="1043" priority="832" stopIfTrue="1">
      <formula>OR($C28="username", $C28="phonenumber", $C28="start", $C28="end", $C28="deviceid", $C28="subscriberid", $C28="simserial", $C28="caseid")</formula>
    </cfRule>
    <cfRule type="expression" dxfId="1042" priority="833" stopIfTrue="1">
      <formula>OR(AND(LEFT($C28, 16)="select_multiple ", LEN($C28)&gt;16, NOT(ISNUMBER(SEARCH(" ", $C28, 17)))), AND(LEFT($C28, 11)="select_one ", LEN($C28)&gt;11, NOT(ISNUMBER(SEARCH(" ", $C28, 12)))))</formula>
    </cfRule>
    <cfRule type="expression" dxfId="1041" priority="834" stopIfTrue="1">
      <formula>$C28="decimal"</formula>
    </cfRule>
    <cfRule type="expression" dxfId="1040" priority="835" stopIfTrue="1">
      <formula>$C28="integer"</formula>
    </cfRule>
    <cfRule type="expression" dxfId="1039" priority="836" stopIfTrue="1">
      <formula>$C28="text"</formula>
    </cfRule>
    <cfRule type="expression" dxfId="1038" priority="837" stopIfTrue="1">
      <formula>$C28="end repeat"</formula>
    </cfRule>
    <cfRule type="expression" dxfId="1037" priority="838" stopIfTrue="1">
      <formula>$C28="begin repeat"</formula>
    </cfRule>
    <cfRule type="expression" dxfId="1036" priority="839" stopIfTrue="1">
      <formula>$C28="end group"</formula>
    </cfRule>
    <cfRule type="expression" dxfId="1035" priority="840" stopIfTrue="1">
      <formula>$C28="begin group"</formula>
    </cfRule>
    <cfRule type="expression" dxfId="1034" priority="841" stopIfTrue="1">
      <formula>$C28="comments"</formula>
    </cfRule>
    <cfRule type="expression" dxfId="1033" priority="842" stopIfTrue="1">
      <formula>OR($C28="audio", $C28="video")</formula>
    </cfRule>
    <cfRule type="expression" dxfId="1032" priority="843" stopIfTrue="1">
      <formula>$C28="image"</formula>
    </cfRule>
    <cfRule type="expression" dxfId="1031" priority="844" stopIfTrue="1">
      <formula>OR($C28="date", $C28="datetime")</formula>
    </cfRule>
    <cfRule type="expression" dxfId="1030" priority="845" stopIfTrue="1">
      <formula>OR($C28="calculate", $C28="calculate_here")</formula>
    </cfRule>
    <cfRule type="expression" dxfId="1029" priority="846" stopIfTrue="1">
      <formula>$C28="note"</formula>
    </cfRule>
    <cfRule type="expression" dxfId="1028" priority="847" stopIfTrue="1">
      <formula>$C28="barcode"</formula>
    </cfRule>
  </conditionalFormatting>
  <conditionalFormatting sqref="L33:L38 L40:L49 L54:L69 L71:L84 L86:L91 L105:L108 L115 L133:L137 L139">
    <cfRule type="expression" dxfId="1027" priority="849" stopIfTrue="1">
      <formula>$C33="integer"</formula>
    </cfRule>
    <cfRule type="expression" dxfId="1026" priority="850" stopIfTrue="1">
      <formula>$C33="text"</formula>
    </cfRule>
    <cfRule type="expression" dxfId="1025" priority="851" stopIfTrue="1">
      <formula>$C33="end repeat"</formula>
    </cfRule>
    <cfRule type="expression" dxfId="1024" priority="852" stopIfTrue="1">
      <formula>$C33="begin repeat"</formula>
    </cfRule>
    <cfRule type="expression" dxfId="1023" priority="853" stopIfTrue="1">
      <formula>$C33="end group"</formula>
    </cfRule>
    <cfRule type="expression" dxfId="1022" priority="854" stopIfTrue="1">
      <formula>$C33="begin group"</formula>
    </cfRule>
    <cfRule type="expression" dxfId="1021" priority="855" stopIfTrue="1">
      <formula>OR($C33="username", $C33="phonenumber", $C33="start", $C33="end", $C33="deviceid", $C33="subscriberid", $C33="simserial", $C33="caseid")</formula>
    </cfRule>
  </conditionalFormatting>
  <conditionalFormatting sqref="L88">
    <cfRule type="expression" dxfId="1020" priority="856" stopIfTrue="1">
      <formula>OR($C88="audio audit", $C88="text audit", $C88="speed violations count", $C88="speed violations list", $C88="speed violations audit")</formula>
    </cfRule>
    <cfRule type="expression" dxfId="1019" priority="857" stopIfTrue="1">
      <formula>$C88="image"</formula>
    </cfRule>
    <cfRule type="expression" dxfId="1018" priority="858" stopIfTrue="1">
      <formula>OR($C88="date", $C88="datetime")</formula>
    </cfRule>
    <cfRule type="expression" dxfId="1017" priority="859" stopIfTrue="1">
      <formula>OR($C88="calculate", $C88="calculate_here")</formula>
    </cfRule>
  </conditionalFormatting>
  <conditionalFormatting sqref="L118:L123 H218 L218 L324:L327 N221:N226">
    <cfRule type="expression" dxfId="1016" priority="579" stopIfTrue="1">
      <formula>$C118="end repeat"</formula>
    </cfRule>
  </conditionalFormatting>
  <conditionalFormatting sqref="L118:L123 H218 L218 N221:N226 L324:L327">
    <cfRule type="expression" dxfId="1015" priority="861" stopIfTrue="1">
      <formula>$C118="decimal"</formula>
    </cfRule>
  </conditionalFormatting>
  <conditionalFormatting sqref="L125:L128 P129:Q130 P576:Q579 P616:Q618">
    <cfRule type="expression" dxfId="1014" priority="864" stopIfTrue="1">
      <formula>OR(AND(LEFT($C125, 16)="select_multiple ", LEN($C125)&gt;16, NOT(ISNUMBER(SEARCH(" ", $C125, 17)))), AND(LEFT($C125, 11)="select_one ", LEN($C125)&gt;11, NOT(ISNUMBER(SEARCH(" ", $C125, 12)))))</formula>
    </cfRule>
    <cfRule type="expression" dxfId="1013" priority="865" stopIfTrue="1">
      <formula>$C125="decimal"</formula>
    </cfRule>
    <cfRule type="expression" dxfId="1012" priority="866" stopIfTrue="1">
      <formula>$C125="text"</formula>
    </cfRule>
    <cfRule type="expression" dxfId="1011" priority="867" stopIfTrue="1">
      <formula>OR($C125="geopoint", $C125="geoshape", $C125="geotrace")</formula>
    </cfRule>
  </conditionalFormatting>
  <conditionalFormatting sqref="L129:L130 P536 L545 P584:P585 P591:P592 I598:K598 M598:N598 L616:L623 P620 P622 P625:P628">
    <cfRule type="expression" dxfId="1010" priority="869" stopIfTrue="1">
      <formula>$C129="barcode"</formula>
    </cfRule>
  </conditionalFormatting>
  <conditionalFormatting sqref="L139 L40:L49 L54:L69 L86:L91 L33:L38 L71:L84 L105:L108 L115 L133:L137">
    <cfRule type="expression" dxfId="1009" priority="848" stopIfTrue="1">
      <formula>$C33="decimal"</formula>
    </cfRule>
  </conditionalFormatting>
  <conditionalFormatting sqref="L171:L180 C203:G233 N209:N215 L221:L227 L228:M233 C50:G53">
    <cfRule type="expression" dxfId="1008" priority="871" stopIfTrue="1">
      <formula>$C50="end repeat"</formula>
    </cfRule>
  </conditionalFormatting>
  <conditionalFormatting sqref="L171:L180 L183">
    <cfRule type="expression" dxfId="1007" priority="872" stopIfTrue="1">
      <formula>$C171="integer"</formula>
    </cfRule>
    <cfRule type="expression" dxfId="1006" priority="873" stopIfTrue="1">
      <formula>$C171="text"</formula>
    </cfRule>
  </conditionalFormatting>
  <conditionalFormatting sqref="L171:L180 P40">
    <cfRule type="expression" dxfId="1005" priority="874" stopIfTrue="1">
      <formula>OR($C40="audio audit", $C40="text audit", $C40="speed violations count", $C40="speed violations list", $C40="speed violations audit")</formula>
    </cfRule>
  </conditionalFormatting>
  <conditionalFormatting sqref="L171:L180">
    <cfRule type="expression" dxfId="1004" priority="875" stopIfTrue="1">
      <formula>OR($C171="geopoint", $C171="geoshape", $C171="geotrace")</formula>
    </cfRule>
    <cfRule type="expression" dxfId="1003" priority="876" stopIfTrue="1">
      <formula>OR($C171="username", $C171="phonenumber", $C171="start", $C171="end", $C171="deviceid", $C171="subscriberid", $C171="simserial", $C171="caseid")</formula>
    </cfRule>
    <cfRule type="expression" dxfId="1002" priority="877" stopIfTrue="1">
      <formula>OR(AND(LEFT($C171, 16)="select_multiple ", LEN($C171)&gt;16, NOT(ISNUMBER(SEARCH(" ", $C171, 17)))), AND(LEFT($C171, 11)="select_one ", LEN($C171)&gt;11, NOT(ISNUMBER(SEARCH(" ", $C171, 12)))))</formula>
    </cfRule>
    <cfRule type="expression" dxfId="1001" priority="878" stopIfTrue="1">
      <formula>$C171="decimal"</formula>
    </cfRule>
    <cfRule type="expression" dxfId="1000" priority="879" stopIfTrue="1">
      <formula>$C171="begin repeat"</formula>
    </cfRule>
    <cfRule type="expression" dxfId="999" priority="880" stopIfTrue="1">
      <formula>$C171="end group"</formula>
    </cfRule>
    <cfRule type="expression" dxfId="998" priority="881" stopIfTrue="1">
      <formula>$C171="begin group"</formula>
    </cfRule>
  </conditionalFormatting>
  <conditionalFormatting sqref="L191">
    <cfRule type="expression" dxfId="997" priority="885" stopIfTrue="1">
      <formula>$C191="comments"</formula>
    </cfRule>
    <cfRule type="expression" dxfId="996" priority="886" stopIfTrue="1">
      <formula>$C191="note"</formula>
    </cfRule>
    <cfRule type="expression" dxfId="995" priority="887" stopIfTrue="1">
      <formula>$C191="barcode"</formula>
    </cfRule>
    <cfRule type="expression" dxfId="994" priority="888" stopIfTrue="1">
      <formula>$C191="image"</formula>
    </cfRule>
    <cfRule type="expression" dxfId="993" priority="889" stopIfTrue="1">
      <formula>OR($C191="audio", $C191="video")</formula>
    </cfRule>
    <cfRule type="expression" dxfId="992" priority="890" stopIfTrue="1">
      <formula>OR($C191="date", $C191="datetime")</formula>
    </cfRule>
    <cfRule type="expression" dxfId="991" priority="891" stopIfTrue="1">
      <formula>OR($C191="calculate", $C191="calculate_here")</formula>
    </cfRule>
  </conditionalFormatting>
  <conditionalFormatting sqref="L208 N208">
    <cfRule type="expression" dxfId="990" priority="898" stopIfTrue="1">
      <formula>#REF!="comments"</formula>
    </cfRule>
    <cfRule type="expression" dxfId="989" priority="899" stopIfTrue="1">
      <formula>OR(#REF!="audio", #REF!="video")</formula>
    </cfRule>
    <cfRule type="expression" dxfId="988" priority="900" stopIfTrue="1">
      <formula>#REF!="barcode"</formula>
    </cfRule>
    <cfRule type="expression" dxfId="987" priority="901" stopIfTrue="1">
      <formula>#REF!="note"</formula>
    </cfRule>
  </conditionalFormatting>
  <conditionalFormatting sqref="L208">
    <cfRule type="expression" dxfId="986" priority="902" stopIfTrue="1">
      <formula>#REF!="image"</formula>
    </cfRule>
    <cfRule type="expression" dxfId="985" priority="903" stopIfTrue="1">
      <formula>OR(#REF!="date", #REF!="datetime")</formula>
    </cfRule>
    <cfRule type="expression" dxfId="984" priority="904" stopIfTrue="1">
      <formula>OR(#REF!="calculate", #REF!="calculate_here")</formula>
    </cfRule>
    <cfRule type="expression" dxfId="983" priority="905" stopIfTrue="1">
      <formula>OR(#REF!="geopoint", #REF!="geoshape", #REF!="geotrace")</formula>
    </cfRule>
    <cfRule type="expression" dxfId="982" priority="906" stopIfTrue="1">
      <formula>OR(#REF!="audio audit", #REF!="text audit", #REF!="speed violations count", #REF!="speed violations list", #REF!="speed violations audit")</formula>
    </cfRule>
    <cfRule type="expression" dxfId="981" priority="907" stopIfTrue="1">
      <formula>OR(#REF!="username", #REF!="phonenumber", #REF!="start", #REF!="end", #REF!="deviceid", #REF!="subscriberid", #REF!="simserial", #REF!="caseid")</formula>
    </cfRule>
    <cfRule type="expression" dxfId="980" priority="908" stopIfTrue="1">
      <formula>OR(AND(LEFT(#REF!, 16)="select_multiple ", LEN(#REF!)&gt;16, NOT(ISNUMBER(SEARCH(" ", #REF!, 17)))), AND(LEFT(#REF!, 11)="select_one ", LEN(#REF!)&gt;11, NOT(ISNUMBER(SEARCH(" ", #REF!, 12)))))</formula>
    </cfRule>
    <cfRule type="expression" dxfId="979" priority="909" stopIfTrue="1">
      <formula>#REF!="decimal"</formula>
    </cfRule>
    <cfRule type="expression" dxfId="978" priority="910" stopIfTrue="1">
      <formula>#REF!="integer"</formula>
    </cfRule>
    <cfRule type="expression" dxfId="977" priority="911" stopIfTrue="1">
      <formula>#REF!="text"</formula>
    </cfRule>
    <cfRule type="expression" dxfId="976" priority="912" stopIfTrue="1">
      <formula>#REF!="end repeat"</formula>
    </cfRule>
    <cfRule type="expression" dxfId="975" priority="913" stopIfTrue="1">
      <formula>#REF!="begin repeat"</formula>
    </cfRule>
    <cfRule type="expression" dxfId="974" priority="914" stopIfTrue="1">
      <formula>#REF!="end group"</formula>
    </cfRule>
    <cfRule type="expression" dxfId="973" priority="915" stopIfTrue="1">
      <formula>#REF!="begin group"</formula>
    </cfRule>
    <cfRule type="expression" dxfId="972" priority="916" stopIfTrue="1">
      <formula>#REF!="comments"</formula>
    </cfRule>
    <cfRule type="expression" dxfId="971" priority="917" stopIfTrue="1">
      <formula>OR(#REF!="audio", #REF!="video")</formula>
    </cfRule>
    <cfRule type="expression" dxfId="970" priority="918" stopIfTrue="1">
      <formula>#REF!="barcode"</formula>
    </cfRule>
    <cfRule type="expression" dxfId="969" priority="919" stopIfTrue="1">
      <formula>#REF!="note"</formula>
    </cfRule>
    <cfRule type="expression" dxfId="968" priority="920" stopIfTrue="1">
      <formula>$C208="decimal"</formula>
    </cfRule>
    <cfRule type="expression" dxfId="967" priority="921" stopIfTrue="1">
      <formula>$C208="integer"</formula>
    </cfRule>
    <cfRule type="expression" dxfId="966" priority="922" stopIfTrue="1">
      <formula>$C208="text"</formula>
    </cfRule>
    <cfRule type="expression" dxfId="965" priority="923" stopIfTrue="1">
      <formula>$C208="end repeat"</formula>
    </cfRule>
    <cfRule type="expression" dxfId="964" priority="924" stopIfTrue="1">
      <formula>OR(AND(LEFT($C208, 16)="select_multiple ", LEN($C208)&gt;16, NOT(ISNUMBER(SEARCH(" ", $C208, 17)))), AND(LEFT($C208, 11)="select_one ", LEN($C208)&gt;11, NOT(ISNUMBER(SEARCH(" ", $C208, 12)))))</formula>
    </cfRule>
    <cfRule type="expression" dxfId="963" priority="925" stopIfTrue="1">
      <formula>$C208="begin repeat"</formula>
    </cfRule>
    <cfRule type="expression" dxfId="962" priority="926" stopIfTrue="1">
      <formula>$C208="end group"</formula>
    </cfRule>
    <cfRule type="expression" dxfId="961" priority="927" stopIfTrue="1">
      <formula>$C208="begin group"</formula>
    </cfRule>
    <cfRule type="expression" dxfId="960" priority="928" stopIfTrue="1">
      <formula>$C208="note"</formula>
    </cfRule>
    <cfRule type="expression" dxfId="959" priority="929" stopIfTrue="1">
      <formula>$C208="barcode"</formula>
    </cfRule>
    <cfRule type="expression" dxfId="958" priority="930" stopIfTrue="1">
      <formula>OR($C208="audio audit", $C208="text audit", $C208="speed violations count", $C208="speed violations list", $C208="speed violations audit")</formula>
    </cfRule>
    <cfRule type="expression" dxfId="957" priority="931" stopIfTrue="1">
      <formula>$C208="note"</formula>
    </cfRule>
    <cfRule type="expression" dxfId="956" priority="932" stopIfTrue="1">
      <formula>$C208="barcode"</formula>
    </cfRule>
    <cfRule type="expression" dxfId="955" priority="933" stopIfTrue="1">
      <formula>$C208="begin repeat"</formula>
    </cfRule>
    <cfRule type="expression" dxfId="954" priority="934" stopIfTrue="1">
      <formula>$C208="end group"</formula>
    </cfRule>
    <cfRule type="expression" dxfId="953" priority="935" stopIfTrue="1">
      <formula>$C208="begin group"</formula>
    </cfRule>
    <cfRule type="expression" dxfId="952" priority="936" stopIfTrue="1">
      <formula>OR($C208="audio audit", $C208="text audit", $C208="speed violations count", $C208="speed violations list", $C208="speed violations audit")</formula>
    </cfRule>
    <cfRule type="expression" dxfId="951" priority="937" stopIfTrue="1">
      <formula>$C208="note"</formula>
    </cfRule>
    <cfRule type="expression" dxfId="950" priority="938" stopIfTrue="1">
      <formula>$C208="barcode"</formula>
    </cfRule>
    <cfRule type="expression" dxfId="949" priority="939" stopIfTrue="1">
      <formula>OR(AND(LEFT($C208, 16)="select_multiple ", LEN($C208)&gt;16, NOT(ISNUMBER(SEARCH(" ", $C208, 17)))), AND(LEFT($C208, 11)="select_one ", LEN($C208)&gt;11, NOT(ISNUMBER(SEARCH(" ", $C208, 12)))))</formula>
    </cfRule>
    <cfRule type="expression" dxfId="948" priority="940" stopIfTrue="1">
      <formula>$C208="decimal"</formula>
    </cfRule>
    <cfRule type="expression" dxfId="947" priority="941" stopIfTrue="1">
      <formula>$C208="integer"</formula>
    </cfRule>
    <cfRule type="expression" dxfId="946" priority="942" stopIfTrue="1">
      <formula>$C208="text"</formula>
    </cfRule>
    <cfRule type="expression" dxfId="945" priority="943" stopIfTrue="1">
      <formula>$C208="end repeat"</formula>
    </cfRule>
    <cfRule type="expression" dxfId="944" priority="944" stopIfTrue="1">
      <formula>#REF!="image"</formula>
    </cfRule>
    <cfRule type="expression" dxfId="943" priority="945" stopIfTrue="1">
      <formula>OR(#REF!="date", #REF!="datetime")</formula>
    </cfRule>
    <cfRule type="expression" dxfId="942" priority="946" stopIfTrue="1">
      <formula>OR(#REF!="calculate", #REF!="calculate_here")</formula>
    </cfRule>
    <cfRule type="expression" dxfId="941" priority="947" stopIfTrue="1">
      <formula>OR(#REF!="geopoint", #REF!="geoshape", #REF!="geotrace")</formula>
    </cfRule>
    <cfRule type="expression" dxfId="940" priority="948" stopIfTrue="1">
      <formula>OR(#REF!="audio audit", #REF!="text audit", #REF!="speed violations count", #REF!="speed violations list", #REF!="speed violations audit")</formula>
    </cfRule>
    <cfRule type="expression" dxfId="939" priority="949" stopIfTrue="1">
      <formula>OR(#REF!="username", #REF!="phonenumber", #REF!="start", #REF!="end", #REF!="deviceid", #REF!="subscriberid", #REF!="simserial", #REF!="caseid")</formula>
    </cfRule>
    <cfRule type="expression" dxfId="938" priority="950" stopIfTrue="1">
      <formula>OR(AND(LEFT(#REF!, 16)="select_multiple ", LEN(#REF!)&gt;16, NOT(ISNUMBER(SEARCH(" ", #REF!, 17)))), AND(LEFT(#REF!, 11)="select_one ", LEN(#REF!)&gt;11, NOT(ISNUMBER(SEARCH(" ", #REF!, 12)))))</formula>
    </cfRule>
    <cfRule type="expression" dxfId="937" priority="951" stopIfTrue="1">
      <formula>#REF!="decimal"</formula>
    </cfRule>
    <cfRule type="expression" dxfId="936" priority="952" stopIfTrue="1">
      <formula>#REF!="integer"</formula>
    </cfRule>
    <cfRule type="expression" dxfId="935" priority="953" stopIfTrue="1">
      <formula>#REF!="text"</formula>
    </cfRule>
    <cfRule type="expression" dxfId="934" priority="954" stopIfTrue="1">
      <formula>#REF!="end repeat"</formula>
    </cfRule>
    <cfRule type="expression" dxfId="933" priority="955" stopIfTrue="1">
      <formula>#REF!="begin repeat"</formula>
    </cfRule>
    <cfRule type="expression" dxfId="932" priority="956" stopIfTrue="1">
      <formula>#REF!="end group"</formula>
    </cfRule>
    <cfRule type="expression" dxfId="931" priority="957" stopIfTrue="1">
      <formula>#REF!="begin group"</formula>
    </cfRule>
  </conditionalFormatting>
  <conditionalFormatting sqref="L211">
    <cfRule type="expression" dxfId="930" priority="958" stopIfTrue="1">
      <formula>#REF!="comments"</formula>
    </cfRule>
    <cfRule type="expression" dxfId="929" priority="959" stopIfTrue="1">
      <formula>OR(#REF!="audio", #REF!="video")</formula>
    </cfRule>
    <cfRule type="expression" dxfId="928" priority="960" stopIfTrue="1">
      <formula>#REF!="barcode"</formula>
    </cfRule>
    <cfRule type="expression" dxfId="927" priority="961" stopIfTrue="1">
      <formula>#REF!="note"</formula>
    </cfRule>
    <cfRule type="expression" dxfId="926" priority="962" stopIfTrue="1">
      <formula>$C211="decimal"</formula>
    </cfRule>
    <cfRule type="expression" dxfId="925" priority="963" stopIfTrue="1">
      <formula>$C211="integer"</formula>
    </cfRule>
    <cfRule type="expression" dxfId="924" priority="964" stopIfTrue="1">
      <formula>$C211="text"</formula>
    </cfRule>
    <cfRule type="expression" dxfId="923" priority="965" stopIfTrue="1">
      <formula>$C211="end repeat"</formula>
    </cfRule>
    <cfRule type="expression" dxfId="922" priority="966" stopIfTrue="1">
      <formula>OR(AND(LEFT($C211, 16)="select_multiple ", LEN($C211)&gt;16, NOT(ISNUMBER(SEARCH(" ", $C211, 17)))), AND(LEFT($C211, 11)="select_one ", LEN($C211)&gt;11, NOT(ISNUMBER(SEARCH(" ", $C211, 12)))))</formula>
    </cfRule>
    <cfRule type="expression" dxfId="921" priority="967" stopIfTrue="1">
      <formula>$C211="begin repeat"</formula>
    </cfRule>
    <cfRule type="expression" dxfId="920" priority="968" stopIfTrue="1">
      <formula>$C211="end group"</formula>
    </cfRule>
    <cfRule type="expression" dxfId="919" priority="969" stopIfTrue="1">
      <formula>$C211="begin group"</formula>
    </cfRule>
    <cfRule type="expression" dxfId="918" priority="970" stopIfTrue="1">
      <formula>$C211="note"</formula>
    </cfRule>
    <cfRule type="expression" dxfId="917" priority="971" stopIfTrue="1">
      <formula>$C211="barcode"</formula>
    </cfRule>
    <cfRule type="expression" dxfId="916" priority="972" stopIfTrue="1">
      <formula>OR($C211="audio audit", $C211="text audit", $C211="speed violations count", $C211="speed violations list", $C211="speed violations audit")</formula>
    </cfRule>
    <cfRule type="expression" dxfId="915" priority="973" stopIfTrue="1">
      <formula>$C211="note"</formula>
    </cfRule>
    <cfRule type="expression" dxfId="914" priority="974" stopIfTrue="1">
      <formula>$C211="barcode"</formula>
    </cfRule>
  </conditionalFormatting>
  <conditionalFormatting sqref="L211:L212">
    <cfRule type="expression" dxfId="913" priority="975" stopIfTrue="1">
      <formula>#REF!="image"</formula>
    </cfRule>
    <cfRule type="expression" dxfId="912" priority="976" stopIfTrue="1">
      <formula>OR(#REF!="date", #REF!="datetime")</formula>
    </cfRule>
    <cfRule type="expression" dxfId="911" priority="977" stopIfTrue="1">
      <formula>OR(#REF!="calculate", #REF!="calculate_here")</formula>
    </cfRule>
    <cfRule type="expression" dxfId="910" priority="978" stopIfTrue="1">
      <formula>OR(#REF!="geopoint", #REF!="geoshape", #REF!="geotrace")</formula>
    </cfRule>
    <cfRule type="expression" dxfId="909" priority="979" stopIfTrue="1">
      <formula>OR(#REF!="audio audit", #REF!="text audit", #REF!="speed violations count", #REF!="speed violations list", #REF!="speed violations audit")</formula>
    </cfRule>
    <cfRule type="expression" dxfId="908" priority="980" stopIfTrue="1">
      <formula>OR(#REF!="username", #REF!="phonenumber", #REF!="start", #REF!="end", #REF!="deviceid", #REF!="subscriberid", #REF!="simserial", #REF!="caseid")</formula>
    </cfRule>
    <cfRule type="expression" dxfId="907" priority="981" stopIfTrue="1">
      <formula>OR(AND(LEFT(#REF!, 16)="select_multiple ", LEN(#REF!)&gt;16, NOT(ISNUMBER(SEARCH(" ", #REF!, 17)))), AND(LEFT(#REF!, 11)="select_one ", LEN(#REF!)&gt;11, NOT(ISNUMBER(SEARCH(" ", #REF!, 12)))))</formula>
    </cfRule>
    <cfRule type="expression" dxfId="906" priority="982" stopIfTrue="1">
      <formula>#REF!="decimal"</formula>
    </cfRule>
    <cfRule type="expression" dxfId="905" priority="983" stopIfTrue="1">
      <formula>#REF!="integer"</formula>
    </cfRule>
    <cfRule type="expression" dxfId="904" priority="984" stopIfTrue="1">
      <formula>#REF!="text"</formula>
    </cfRule>
    <cfRule type="expression" dxfId="903" priority="985" stopIfTrue="1">
      <formula>#REF!="end repeat"</formula>
    </cfRule>
    <cfRule type="expression" dxfId="902" priority="986" stopIfTrue="1">
      <formula>#REF!="begin repeat"</formula>
    </cfRule>
    <cfRule type="expression" dxfId="901" priority="987" stopIfTrue="1">
      <formula>#REF!="end group"</formula>
    </cfRule>
    <cfRule type="expression" dxfId="900" priority="988" stopIfTrue="1">
      <formula>#REF!="begin group"</formula>
    </cfRule>
  </conditionalFormatting>
  <conditionalFormatting sqref="L212">
    <cfRule type="expression" dxfId="899" priority="989" stopIfTrue="1">
      <formula>#REF!="comments"</formula>
    </cfRule>
    <cfRule type="expression" dxfId="898" priority="990" stopIfTrue="1">
      <formula>OR(#REF!="audio", #REF!="video")</formula>
    </cfRule>
    <cfRule type="expression" dxfId="897" priority="991" stopIfTrue="1">
      <formula>#REF!="barcode"</formula>
    </cfRule>
    <cfRule type="expression" dxfId="896" priority="992" stopIfTrue="1">
      <formula>#REF!="note"</formula>
    </cfRule>
    <cfRule type="expression" dxfId="895" priority="993" stopIfTrue="1">
      <formula>$C212="decimal"</formula>
    </cfRule>
    <cfRule type="expression" dxfId="894" priority="994" stopIfTrue="1">
      <formula>$C212="integer"</formula>
    </cfRule>
    <cfRule type="expression" dxfId="893" priority="995" stopIfTrue="1">
      <formula>$C212="text"</formula>
    </cfRule>
    <cfRule type="expression" dxfId="892" priority="996" stopIfTrue="1">
      <formula>$C212="end repeat"</formula>
    </cfRule>
    <cfRule type="expression" dxfId="891" priority="997" stopIfTrue="1">
      <formula>OR(AND(LEFT($C212, 16)="select_multiple ", LEN($C212)&gt;16, NOT(ISNUMBER(SEARCH(" ", $C212, 17)))), AND(LEFT($C212, 11)="select_one ", LEN($C212)&gt;11, NOT(ISNUMBER(SEARCH(" ", $C212, 12)))))</formula>
    </cfRule>
    <cfRule type="expression" dxfId="890" priority="998" stopIfTrue="1">
      <formula>$C212="begin repeat"</formula>
    </cfRule>
    <cfRule type="expression" dxfId="889" priority="999" stopIfTrue="1">
      <formula>$C212="end group"</formula>
    </cfRule>
    <cfRule type="expression" dxfId="888" priority="1000" stopIfTrue="1">
      <formula>$C212="begin group"</formula>
    </cfRule>
    <cfRule type="expression" dxfId="887" priority="1001" stopIfTrue="1">
      <formula>$C212="note"</formula>
    </cfRule>
    <cfRule type="expression" dxfId="886" priority="1002" stopIfTrue="1">
      <formula>$C212="barcode"</formula>
    </cfRule>
    <cfRule type="expression" dxfId="885" priority="1003" stopIfTrue="1">
      <formula>OR($C212="audio audit", $C212="text audit", $C212="speed violations count", $C212="speed violations list", $C212="speed violations audit")</formula>
    </cfRule>
    <cfRule type="expression" dxfId="884" priority="1004" stopIfTrue="1">
      <formula>$C212="note"</formula>
    </cfRule>
    <cfRule type="expression" dxfId="883" priority="1005" stopIfTrue="1">
      <formula>$C212="barcode"</formula>
    </cfRule>
  </conditionalFormatting>
  <conditionalFormatting sqref="L219 N219">
    <cfRule type="expression" dxfId="882" priority="1007" stopIfTrue="1">
      <formula>#REF!="image"</formula>
    </cfRule>
    <cfRule type="expression" dxfId="881" priority="1008" stopIfTrue="1">
      <formula>OR(#REF!="date", #REF!="datetime")</formula>
    </cfRule>
    <cfRule type="expression" dxfId="880" priority="1009" stopIfTrue="1">
      <formula>OR(#REF!="calculate", #REF!="calculate_here")</formula>
    </cfRule>
    <cfRule type="expression" dxfId="879" priority="1010" stopIfTrue="1">
      <formula>OR(#REF!="geopoint", #REF!="geoshape", #REF!="geotrace")</formula>
    </cfRule>
    <cfRule type="expression" dxfId="878" priority="1011" stopIfTrue="1">
      <formula>OR(#REF!="audio audit", #REF!="text audit", #REF!="speed violations count", #REF!="speed violations list", #REF!="speed violations audit")</formula>
    </cfRule>
    <cfRule type="expression" dxfId="877" priority="1012" stopIfTrue="1">
      <formula>OR(#REF!="username", #REF!="phonenumber", #REF!="start", #REF!="end", #REF!="deviceid", #REF!="subscriberid", #REF!="simserial", #REF!="caseid")</formula>
    </cfRule>
    <cfRule type="expression" dxfId="876" priority="1013" stopIfTrue="1">
      <formula>OR(AND(LEFT(#REF!, 16)="select_multiple ", LEN(#REF!)&gt;16, NOT(ISNUMBER(SEARCH(" ", #REF!, 17)))), AND(LEFT(#REF!, 11)="select_one ", LEN(#REF!)&gt;11, NOT(ISNUMBER(SEARCH(" ", #REF!, 12)))))</formula>
    </cfRule>
    <cfRule type="expression" dxfId="875" priority="1014" stopIfTrue="1">
      <formula>#REF!="decimal"</formula>
    </cfRule>
    <cfRule type="expression" dxfId="874" priority="1015" stopIfTrue="1">
      <formula>#REF!="integer"</formula>
    </cfRule>
    <cfRule type="expression" dxfId="873" priority="1016" stopIfTrue="1">
      <formula>#REF!="text"</formula>
    </cfRule>
    <cfRule type="expression" dxfId="872" priority="1017" stopIfTrue="1">
      <formula>#REF!="end repeat"</formula>
    </cfRule>
    <cfRule type="expression" dxfId="871" priority="1018" stopIfTrue="1">
      <formula>#REF!="begin repeat"</formula>
    </cfRule>
    <cfRule type="expression" dxfId="870" priority="1019" stopIfTrue="1">
      <formula>#REF!="end group"</formula>
    </cfRule>
    <cfRule type="expression" dxfId="869" priority="1020" stopIfTrue="1">
      <formula>#REF!="begin group"</formula>
    </cfRule>
    <cfRule type="expression" dxfId="868" priority="1021" stopIfTrue="1">
      <formula>#REF!="comments"</formula>
    </cfRule>
    <cfRule type="expression" dxfId="867" priority="1022" stopIfTrue="1">
      <formula>OR(#REF!="audio", #REF!="video")</formula>
    </cfRule>
    <cfRule type="expression" dxfId="866" priority="1023" stopIfTrue="1">
      <formula>#REF!="barcode"</formula>
    </cfRule>
    <cfRule type="expression" dxfId="865" priority="1024" stopIfTrue="1">
      <formula>#REF!="note"</formula>
    </cfRule>
  </conditionalFormatting>
  <conditionalFormatting sqref="L221:L226 M228:M233">
    <cfRule type="expression" dxfId="864" priority="1025" stopIfTrue="1">
      <formula>$C221="barcode"</formula>
    </cfRule>
    <cfRule type="expression" dxfId="863" priority="1026" stopIfTrue="1">
      <formula>$C221="note"</formula>
    </cfRule>
    <cfRule type="expression" dxfId="862" priority="1027" stopIfTrue="1">
      <formula>$C221="barcode"</formula>
    </cfRule>
    <cfRule type="expression" dxfId="861" priority="1211" stopIfTrue="1">
      <formula>$C221="note"</formula>
    </cfRule>
  </conditionalFormatting>
  <conditionalFormatting sqref="L236 L238:L239">
    <cfRule type="expression" dxfId="860" priority="1030" stopIfTrue="1">
      <formula>$C236="image"</formula>
    </cfRule>
    <cfRule type="expression" dxfId="859" priority="1032" stopIfTrue="1">
      <formula>OR($C236="geopoint", $C236="geoshape", $C236="geotrace")</formula>
    </cfRule>
  </conditionalFormatting>
  <conditionalFormatting sqref="L236 L239">
    <cfRule type="expression" dxfId="858" priority="1031" stopIfTrue="1">
      <formula>$C236="note"</formula>
    </cfRule>
    <cfRule type="expression" dxfId="857" priority="1033" stopIfTrue="1">
      <formula>OR($C236="audio audit", $C236="text audit", $C236="speed violations count", $C236="speed violations list", $C236="speed violations audit")</formula>
    </cfRule>
    <cfRule type="expression" dxfId="856" priority="1034" stopIfTrue="1">
      <formula>OR($C236="username", $C236="phonenumber", $C236="start", $C236="end", $C236="deviceid", $C236="subscriberid", $C236="simserial", $C236="caseid")</formula>
    </cfRule>
    <cfRule type="expression" dxfId="855" priority="1035" stopIfTrue="1">
      <formula>OR(AND(LEFT($C236, 16)="select_multiple ", LEN($C236)&gt;16, NOT(ISNUMBER(SEARCH(" ", $C236, 17)))), AND(LEFT($C236, 11)="select_one ", LEN($C236)&gt;11, NOT(ISNUMBER(SEARCH(" ", $C236, 12)))))</formula>
    </cfRule>
    <cfRule type="expression" dxfId="854" priority="1036" stopIfTrue="1">
      <formula>$C236="decimal"</formula>
    </cfRule>
    <cfRule type="expression" dxfId="853" priority="1037" stopIfTrue="1">
      <formula>$C236="integer"</formula>
    </cfRule>
    <cfRule type="expression" dxfId="852" priority="1038" stopIfTrue="1">
      <formula>$C236="text"</formula>
    </cfRule>
    <cfRule type="expression" dxfId="851" priority="1039" stopIfTrue="1">
      <formula>$C236="end repeat"</formula>
    </cfRule>
    <cfRule type="expression" dxfId="850" priority="1040" stopIfTrue="1">
      <formula>$C236="begin repeat"</formula>
    </cfRule>
    <cfRule type="expression" dxfId="849" priority="1041" stopIfTrue="1">
      <formula>$C236="end group"</formula>
    </cfRule>
    <cfRule type="expression" dxfId="848" priority="1042" stopIfTrue="1">
      <formula>$C236="begin group"</formula>
    </cfRule>
  </conditionalFormatting>
  <conditionalFormatting sqref="L236:L237 L239">
    <cfRule type="expression" dxfId="847" priority="1043" stopIfTrue="1">
      <formula>OR($C236="date", $C236="datetime")</formula>
    </cfRule>
    <cfRule type="expression" dxfId="846" priority="1044" stopIfTrue="1">
      <formula>OR($C236="calculate", $C236="calculate_here")</formula>
    </cfRule>
  </conditionalFormatting>
  <conditionalFormatting sqref="L237">
    <cfRule type="expression" dxfId="845" priority="1047" stopIfTrue="1">
      <formula>$C237="begin repeat"</formula>
    </cfRule>
    <cfRule type="expression" dxfId="844" priority="1048" stopIfTrue="1">
      <formula>$C237="note"</formula>
    </cfRule>
    <cfRule type="expression" dxfId="843" priority="1049" stopIfTrue="1">
      <formula>$C237="barcode"</formula>
    </cfRule>
    <cfRule type="expression" dxfId="842" priority="1050" stopIfTrue="1">
      <formula>$C237="note"</formula>
    </cfRule>
    <cfRule type="expression" dxfId="841" priority="1051" stopIfTrue="1">
      <formula>$C237="barcode"</formula>
    </cfRule>
    <cfRule type="expression" dxfId="840" priority="1053" stopIfTrue="1">
      <formula>$C237="integer"</formula>
    </cfRule>
    <cfRule type="expression" dxfId="839" priority="1054" stopIfTrue="1">
      <formula>$C237="note"</formula>
    </cfRule>
    <cfRule type="expression" dxfId="838" priority="1055" stopIfTrue="1">
      <formula>$C237="barcode"</formula>
    </cfRule>
    <cfRule type="expression" dxfId="837" priority="1056" stopIfTrue="1">
      <formula>$C237="text"</formula>
    </cfRule>
    <cfRule type="expression" dxfId="836" priority="1057" stopIfTrue="1">
      <formula>$C237="end repeat"</formula>
    </cfRule>
  </conditionalFormatting>
  <conditionalFormatting sqref="L237:L238">
    <cfRule type="expression" dxfId="835" priority="1052" stopIfTrue="1">
      <formula>OR($C237="audio audit", $C237="text audit", $C237="speed violations count", $C237="speed violations list", $C237="speed violations audit")</formula>
    </cfRule>
  </conditionalFormatting>
  <conditionalFormatting sqref="L238">
    <cfRule type="expression" dxfId="834" priority="1060" stopIfTrue="1">
      <formula>OR($C238="username", $C238="phonenumber", $C238="start", $C238="end", $C238="deviceid", $C238="subscriberid", $C238="simserial", $C238="caseid")</formula>
    </cfRule>
    <cfRule type="expression" dxfId="833" priority="1061" stopIfTrue="1">
      <formula>$C238="decimal"</formula>
    </cfRule>
    <cfRule type="expression" dxfId="832" priority="1062" stopIfTrue="1">
      <formula>$C238="integer"</formula>
    </cfRule>
    <cfRule type="expression" dxfId="831" priority="1063" stopIfTrue="1">
      <formula>$C238="text"</formula>
    </cfRule>
    <cfRule type="expression" dxfId="830" priority="1064" stopIfTrue="1">
      <formula>$C238="end repeat"</formula>
    </cfRule>
    <cfRule type="expression" dxfId="829" priority="1065" stopIfTrue="1">
      <formula>$C238="begin repeat"</formula>
    </cfRule>
    <cfRule type="expression" dxfId="828" priority="1066" stopIfTrue="1">
      <formula>$C238="end group"</formula>
    </cfRule>
    <cfRule type="expression" dxfId="827" priority="1067" stopIfTrue="1">
      <formula>$C238="begin group"</formula>
    </cfRule>
  </conditionalFormatting>
  <conditionalFormatting sqref="L238:L239 L236">
    <cfRule type="expression" dxfId="826" priority="1029" stopIfTrue="1">
      <formula>OR($C236="audio", $C236="video")</formula>
    </cfRule>
  </conditionalFormatting>
  <conditionalFormatting sqref="L238:L239">
    <cfRule type="expression" dxfId="825" priority="1028" stopIfTrue="1">
      <formula>$C238="comments"</formula>
    </cfRule>
  </conditionalFormatting>
  <conditionalFormatting sqref="L258">
    <cfRule type="expression" dxfId="824" priority="1068" stopIfTrue="1">
      <formula>$C258="note"</formula>
    </cfRule>
    <cfRule type="expression" dxfId="823" priority="1069" stopIfTrue="1">
      <formula>$C258="barcode"</formula>
    </cfRule>
    <cfRule type="expression" dxfId="822" priority="1070" stopIfTrue="1">
      <formula>$C258="comments"</formula>
    </cfRule>
    <cfRule type="expression" dxfId="821" priority="1071" stopIfTrue="1">
      <formula>OR($C258="audio", $C258="video")</formula>
    </cfRule>
    <cfRule type="expression" dxfId="820" priority="1072" stopIfTrue="1">
      <formula>OR($C258="geopoint", $C258="geoshape", $C258="geotrace")</formula>
    </cfRule>
    <cfRule type="expression" dxfId="819" priority="1073" stopIfTrue="1">
      <formula>OR($C258="audio audit", $C258="text audit", $C258="speed violations count", $C258="speed violations list", $C258="speed violations audit")</formula>
    </cfRule>
    <cfRule type="expression" dxfId="818" priority="1074" stopIfTrue="1">
      <formula>OR($C258="username", $C258="phonenumber", $C258="start", $C258="end", $C258="deviceid", $C258="subscriberid", $C258="simserial", $C258="caseid")</formula>
    </cfRule>
    <cfRule type="expression" dxfId="817" priority="1075" stopIfTrue="1">
      <formula>OR(AND(LEFT($C258, 16)="select_multiple ", LEN($C258)&gt;16, NOT(ISNUMBER(SEARCH(" ", $C258, 17)))), AND(LEFT($C258, 11)="select_one ", LEN($C258)&gt;11, NOT(ISNUMBER(SEARCH(" ", $C258, 12)))))</formula>
    </cfRule>
    <cfRule type="expression" dxfId="816" priority="1076" stopIfTrue="1">
      <formula>$C258="decimal"</formula>
    </cfRule>
    <cfRule type="expression" dxfId="815" priority="1077" stopIfTrue="1">
      <formula>$C258="integer"</formula>
    </cfRule>
    <cfRule type="expression" dxfId="814" priority="1078" stopIfTrue="1">
      <formula>$C258="text"</formula>
    </cfRule>
    <cfRule type="expression" dxfId="813" priority="1079" stopIfTrue="1">
      <formula>$C258="end repeat"</formula>
    </cfRule>
    <cfRule type="expression" dxfId="812" priority="1080" stopIfTrue="1">
      <formula>$C258="begin repeat"</formula>
    </cfRule>
    <cfRule type="expression" dxfId="811" priority="1081" stopIfTrue="1">
      <formula>$C258="end group"</formula>
    </cfRule>
    <cfRule type="expression" dxfId="810" priority="1082" stopIfTrue="1">
      <formula>$C258="begin group"</formula>
    </cfRule>
  </conditionalFormatting>
  <conditionalFormatting sqref="L258:L259">
    <cfRule type="expression" dxfId="809" priority="1083" stopIfTrue="1">
      <formula>OR($C258="geopoint", $C258="geoshape", $C258="geotrace")</formula>
    </cfRule>
    <cfRule type="expression" dxfId="808" priority="1084" stopIfTrue="1">
      <formula>OR($C258="audio audit", $C258="text audit", $C258="speed violations count", $C258="speed violations list", $C258="speed violations audit")</formula>
    </cfRule>
    <cfRule type="expression" dxfId="807" priority="1085" stopIfTrue="1">
      <formula>OR($C258="username", $C258="phonenumber", $C258="start", $C258="end", $C258="deviceid", $C258="subscriberid", $C258="simserial", $C258="caseid")</formula>
    </cfRule>
    <cfRule type="expression" dxfId="806" priority="1086" stopIfTrue="1">
      <formula>OR(AND(LEFT($C258, 16)="select_multiple ", LEN($C258)&gt;16, NOT(ISNUMBER(SEARCH(" ", $C258, 17)))), AND(LEFT($C258, 11)="select_one ", LEN($C258)&gt;11, NOT(ISNUMBER(SEARCH(" ", $C258, 12)))))</formula>
    </cfRule>
    <cfRule type="expression" dxfId="805" priority="1087" stopIfTrue="1">
      <formula>$C258="decimal"</formula>
    </cfRule>
    <cfRule type="expression" dxfId="804" priority="1088" stopIfTrue="1">
      <formula>$C258="integer"</formula>
    </cfRule>
    <cfRule type="expression" dxfId="803" priority="1089" stopIfTrue="1">
      <formula>$C258="text"</formula>
    </cfRule>
    <cfRule type="expression" dxfId="802" priority="1090" stopIfTrue="1">
      <formula>$C258="end repeat"</formula>
    </cfRule>
    <cfRule type="expression" dxfId="801" priority="1091" stopIfTrue="1">
      <formula>$C258="begin repeat"</formula>
    </cfRule>
    <cfRule type="expression" dxfId="800" priority="1092" stopIfTrue="1">
      <formula>$C258="end group"</formula>
    </cfRule>
    <cfRule type="expression" dxfId="799" priority="1093" stopIfTrue="1">
      <formula>$C258="begin group"</formula>
    </cfRule>
    <cfRule type="expression" dxfId="798" priority="1094" stopIfTrue="1">
      <formula>$C258="note"</formula>
    </cfRule>
    <cfRule type="expression" dxfId="797" priority="1095" stopIfTrue="1">
      <formula>$C258="barcode"</formula>
    </cfRule>
  </conditionalFormatting>
  <conditionalFormatting sqref="L262:L269">
    <cfRule type="expression" dxfId="796" priority="1096" stopIfTrue="1">
      <formula>$C262="note"</formula>
    </cfRule>
    <cfRule type="expression" dxfId="795" priority="1097" stopIfTrue="1">
      <formula>$C262="barcode"</formula>
    </cfRule>
    <cfRule type="expression" dxfId="794" priority="1098" stopIfTrue="1">
      <formula>$C262="comments"</formula>
    </cfRule>
    <cfRule type="expression" dxfId="793" priority="1099" stopIfTrue="1">
      <formula>OR($C262="audio", $C262="video")</formula>
    </cfRule>
    <cfRule type="expression" dxfId="792" priority="1100" stopIfTrue="1">
      <formula>$C262="image"</formula>
    </cfRule>
    <cfRule type="expression" dxfId="791" priority="1101" stopIfTrue="1">
      <formula>OR($C262="date", $C262="datetime")</formula>
    </cfRule>
    <cfRule type="expression" dxfId="790" priority="1102" stopIfTrue="1">
      <formula>OR($C262="calculate", $C262="calculate_here")</formula>
    </cfRule>
    <cfRule type="expression" dxfId="789" priority="1103" stopIfTrue="1">
      <formula>$C262="note"</formula>
    </cfRule>
    <cfRule type="expression" dxfId="788" priority="1104" stopIfTrue="1">
      <formula>$C262="barcode"</formula>
    </cfRule>
  </conditionalFormatting>
  <conditionalFormatting sqref="L289">
    <cfRule type="expression" dxfId="787" priority="1105" stopIfTrue="1">
      <formula>OR($C289="audio", $C289="video")</formula>
    </cfRule>
    <cfRule type="expression" dxfId="786" priority="1106" stopIfTrue="1">
      <formula>$C289="image"</formula>
    </cfRule>
    <cfRule type="expression" dxfId="785" priority="1107" stopIfTrue="1">
      <formula>OR($C289="date", $C289="datetime")</formula>
    </cfRule>
    <cfRule type="expression" dxfId="784" priority="1108" stopIfTrue="1">
      <formula>OR($C289="calculate", $C289="calculate_here")</formula>
    </cfRule>
    <cfRule type="expression" dxfId="783" priority="1109" stopIfTrue="1">
      <formula>OR($C289="geopoint", $C289="geoshape", $C289="geotrace")</formula>
    </cfRule>
    <cfRule type="expression" dxfId="782" priority="1110" stopIfTrue="1">
      <formula>OR($C289="audio audit", $C289="text audit", $C289="speed violations count", $C289="speed violations list", $C289="speed violations audit")</formula>
    </cfRule>
    <cfRule type="expression" dxfId="781" priority="1111" stopIfTrue="1">
      <formula>OR($C289="username", $C289="phonenumber", $C289="start", $C289="end", $C289="deviceid", $C289="subscriberid", $C289="simserial", $C289="caseid")</formula>
    </cfRule>
    <cfRule type="expression" dxfId="780" priority="1112" stopIfTrue="1">
      <formula>OR(AND(LEFT($C289, 16)="select_multiple ", LEN($C289)&gt;16, NOT(ISNUMBER(SEARCH(" ", $C289, 17)))), AND(LEFT($C289, 11)="select_one ", LEN($C289)&gt;11, NOT(ISNUMBER(SEARCH(" ", $C289, 12)))))</formula>
    </cfRule>
    <cfRule type="expression" dxfId="779" priority="1113" stopIfTrue="1">
      <formula>$C289="decimal"</formula>
    </cfRule>
    <cfRule type="expression" dxfId="778" priority="1114" stopIfTrue="1">
      <formula>$C289="integer"</formula>
    </cfRule>
    <cfRule type="expression" dxfId="777" priority="1115" stopIfTrue="1">
      <formula>$C289="end repeat"</formula>
    </cfRule>
    <cfRule type="expression" dxfId="776" priority="1116" stopIfTrue="1">
      <formula>$C289="begin repeat"</formula>
    </cfRule>
    <cfRule type="expression" dxfId="775" priority="1117" stopIfTrue="1">
      <formula>$C289="end group"</formula>
    </cfRule>
    <cfRule type="expression" dxfId="774" priority="1118" stopIfTrue="1">
      <formula>$C289="begin group"</formula>
    </cfRule>
  </conditionalFormatting>
  <conditionalFormatting sqref="L321 L631">
    <cfRule type="expression" dxfId="773" priority="1132" stopIfTrue="1">
      <formula>OR($C321="username", $C321="phonenumber", $C321="start", $C321="end", $C321="deviceid", $C321="subscriberid", $C321="simserial", $C321="caseid")</formula>
    </cfRule>
    <cfRule type="expression" dxfId="772" priority="1133" stopIfTrue="1">
      <formula>$C321="decimal"</formula>
    </cfRule>
    <cfRule type="expression" dxfId="771" priority="1134" stopIfTrue="1">
      <formula>$C321="integer"</formula>
    </cfRule>
    <cfRule type="expression" dxfId="770" priority="1137" stopIfTrue="1">
      <formula>$C321="begin repeat"</formula>
    </cfRule>
    <cfRule type="expression" dxfId="769" priority="1138" stopIfTrue="1">
      <formula>$C321="end group"</formula>
    </cfRule>
    <cfRule type="expression" dxfId="768" priority="1139" stopIfTrue="1">
      <formula>$C321="begin group"</formula>
    </cfRule>
  </conditionalFormatting>
  <conditionalFormatting sqref="L324:L327 H218 L218 N221:N226 L118:L123">
    <cfRule type="expression" dxfId="767" priority="860" stopIfTrue="1">
      <formula>OR(AND(LEFT($C118, 16)="select_multiple ", LEN($C118)&gt;16, NOT(ISNUMBER(SEARCH(" ", $C118, 17)))), AND(LEFT($C118, 11)="select_one ", LEN($C118)&gt;11, NOT(ISNUMBER(SEARCH(" ", $C118, 12)))))</formula>
    </cfRule>
  </conditionalFormatting>
  <conditionalFormatting sqref="L542">
    <cfRule type="expression" dxfId="766" priority="1140" stopIfTrue="1">
      <formula>OR($C542="username", $C542="phonenumber", $C542="start", $C542="end", $C542="deviceid", $C542="subscriberid", $C542="simserial", $C542="caseid")</formula>
    </cfRule>
    <cfRule type="expression" dxfId="765" priority="1141" stopIfTrue="1">
      <formula>$C542="decimal"</formula>
    </cfRule>
    <cfRule type="expression" dxfId="764" priority="1142" stopIfTrue="1">
      <formula>$C542="integer"</formula>
    </cfRule>
    <cfRule type="expression" dxfId="763" priority="1143" stopIfTrue="1">
      <formula>$C542="begin repeat"</formula>
    </cfRule>
    <cfRule type="expression" dxfId="762" priority="1144" stopIfTrue="1">
      <formula>$C542="end group"</formula>
    </cfRule>
    <cfRule type="expression" dxfId="761" priority="1145" stopIfTrue="1">
      <formula>$C542="begin group"</formula>
    </cfRule>
  </conditionalFormatting>
  <conditionalFormatting sqref="L546:L547">
    <cfRule type="expression" dxfId="760" priority="1146" stopIfTrue="1">
      <formula>OR($C546="geopoint", $C546="geoshape", $C546="geotrace")</formula>
    </cfRule>
    <cfRule type="expression" dxfId="759" priority="1147" stopIfTrue="1">
      <formula>OR($C546="audio audit", $C546="text audit", $C546="speed violations count", $C546="speed violations list", $C546="speed violations audit")</formula>
    </cfRule>
    <cfRule type="expression" dxfId="758" priority="1148" stopIfTrue="1">
      <formula>OR($C546="username", $C546="phonenumber", $C546="start", $C546="end", $C546="deviceid", $C546="subscriberid", $C546="simserial", $C546="caseid")</formula>
    </cfRule>
    <cfRule type="expression" dxfId="757" priority="1149" stopIfTrue="1">
      <formula>OR(AND(LEFT($C546, 16)="select_multiple ", LEN($C546)&gt;16, NOT(ISNUMBER(SEARCH(" ", $C546, 17)))), AND(LEFT($C546, 11)="select_one ", LEN($C546)&gt;11, NOT(ISNUMBER(SEARCH(" ", $C546, 12)))))</formula>
    </cfRule>
    <cfRule type="expression" dxfId="756" priority="1150" stopIfTrue="1">
      <formula>$C546="decimal"</formula>
    </cfRule>
    <cfRule type="expression" dxfId="755" priority="1151" stopIfTrue="1">
      <formula>$C546="integer"</formula>
    </cfRule>
    <cfRule type="expression" dxfId="754" priority="1152" stopIfTrue="1">
      <formula>$C546="text"</formula>
    </cfRule>
    <cfRule type="expression" dxfId="753" priority="1153" stopIfTrue="1">
      <formula>$C546="end repeat"</formula>
    </cfRule>
    <cfRule type="expression" dxfId="752" priority="1154" stopIfTrue="1">
      <formula>$C546="begin repeat"</formula>
    </cfRule>
    <cfRule type="expression" dxfId="751" priority="1155" stopIfTrue="1">
      <formula>$C546="end group"</formula>
    </cfRule>
    <cfRule type="expression" dxfId="750" priority="1156" stopIfTrue="1">
      <formula>$C546="begin group"</formula>
    </cfRule>
    <cfRule type="expression" dxfId="749" priority="1157" stopIfTrue="1">
      <formula>$C546="comments"</formula>
    </cfRule>
  </conditionalFormatting>
  <conditionalFormatting sqref="L546:L548">
    <cfRule type="expression" dxfId="748" priority="1158" stopIfTrue="1">
      <formula>OR($C546="audio", $C546="video")</formula>
    </cfRule>
    <cfRule type="expression" dxfId="747" priority="1159" stopIfTrue="1">
      <formula>$C546="note"</formula>
    </cfRule>
  </conditionalFormatting>
  <conditionalFormatting sqref="L625 L648">
    <cfRule type="expression" dxfId="746" priority="1119" stopIfTrue="1">
      <formula>$C625="text"</formula>
    </cfRule>
    <cfRule type="expression" dxfId="745" priority="1120" stopIfTrue="1">
      <formula>$C625="note"</formula>
    </cfRule>
    <cfRule type="expression" dxfId="744" priority="1121" stopIfTrue="1">
      <formula>$C625="comments"</formula>
    </cfRule>
    <cfRule type="expression" dxfId="743" priority="1122" stopIfTrue="1">
      <formula>$C625="image"</formula>
    </cfRule>
    <cfRule type="expression" dxfId="742" priority="1123" stopIfTrue="1">
      <formula>$C625="comments"</formula>
    </cfRule>
    <cfRule type="expression" dxfId="741" priority="1124" stopIfTrue="1">
      <formula>$C625="note"</formula>
    </cfRule>
    <cfRule type="expression" dxfId="740" priority="1125" stopIfTrue="1">
      <formula>$C625="image"</formula>
    </cfRule>
    <cfRule type="expression" dxfId="739" priority="1126" stopIfTrue="1">
      <formula>$C625="note"</formula>
    </cfRule>
    <cfRule type="expression" dxfId="738" priority="1127" stopIfTrue="1">
      <formula>$C625="text"</formula>
    </cfRule>
    <cfRule type="expression" dxfId="737" priority="1128" stopIfTrue="1">
      <formula>$C625="end repeat"</formula>
    </cfRule>
    <cfRule type="expression" dxfId="736" priority="1129" stopIfTrue="1">
      <formula>$C625="comments"</formula>
    </cfRule>
    <cfRule type="expression" dxfId="735" priority="1130" stopIfTrue="1">
      <formula>$C625="barcode"</formula>
    </cfRule>
    <cfRule type="expression" dxfId="734" priority="1131" stopIfTrue="1">
      <formula>OR($C625="audio audit", $C625="text audit", $C625="speed violations count", $C625="speed violations list", $C625="speed violations audit")</formula>
    </cfRule>
  </conditionalFormatting>
  <conditionalFormatting sqref="L11:M11">
    <cfRule type="expression" dxfId="733" priority="1160" stopIfTrue="1">
      <formula>$C11="text"</formula>
    </cfRule>
    <cfRule type="expression" dxfId="732" priority="1161" stopIfTrue="1">
      <formula>$C11="end repeat"</formula>
    </cfRule>
  </conditionalFormatting>
  <conditionalFormatting sqref="L87:M88 C161:G161 H161:H165 H167 H169:H180">
    <cfRule type="expression" dxfId="731" priority="1162" stopIfTrue="1">
      <formula>OR($C87="calculate", $C87="calculate_here")</formula>
    </cfRule>
  </conditionalFormatting>
  <conditionalFormatting sqref="L87:M88 H161:H165 H167 H169:H180">
    <cfRule type="expression" dxfId="730" priority="1163" stopIfTrue="1">
      <formula>OR($C87="date", $C87="datetime")</formula>
    </cfRule>
  </conditionalFormatting>
  <conditionalFormatting sqref="L321:M321 L631">
    <cfRule type="expression" dxfId="729" priority="1135" stopIfTrue="1">
      <formula>$C321="text"</formula>
    </cfRule>
    <cfRule type="expression" dxfId="728" priority="1136" stopIfTrue="1">
      <formula>$C321="end repeat"</formula>
    </cfRule>
  </conditionalFormatting>
  <conditionalFormatting sqref="L514:M514">
    <cfRule type="expression" dxfId="727" priority="1165" stopIfTrue="1">
      <formula>$C514="comments"</formula>
    </cfRule>
    <cfRule type="expression" dxfId="726" priority="1166" stopIfTrue="1">
      <formula>OR($C514="audio", $C514="video")</formula>
    </cfRule>
    <cfRule type="expression" dxfId="725" priority="1168" stopIfTrue="1">
      <formula>OR($C514="date", $C514="datetime")</formula>
    </cfRule>
    <cfRule type="expression" dxfId="724" priority="1169" stopIfTrue="1">
      <formula>OR($C514="calculate", $C514="calculate_here")</formula>
    </cfRule>
    <cfRule type="expression" dxfId="723" priority="1170" stopIfTrue="1">
      <formula>$C514="decimal"</formula>
    </cfRule>
    <cfRule type="expression" dxfId="722" priority="1171" stopIfTrue="1">
      <formula>$C514="integer"</formula>
    </cfRule>
    <cfRule type="expression" dxfId="721" priority="1172" stopIfTrue="1">
      <formula>$C514="text"</formula>
    </cfRule>
    <cfRule type="expression" dxfId="720" priority="1173" stopIfTrue="1">
      <formula>$C514="end repeat"</formula>
    </cfRule>
    <cfRule type="expression" dxfId="719" priority="1174" stopIfTrue="1">
      <formula>OR(AND(LEFT($C514, 16)="select_multiple ", LEN($C514)&gt;16, NOT(ISNUMBER(SEARCH(" ", $C514, 17)))), AND(LEFT($C514, 11)="select_one ", LEN($C514)&gt;11, NOT(ISNUMBER(SEARCH(" ", $C514, 12)))))</formula>
    </cfRule>
    <cfRule type="expression" dxfId="718" priority="1175" stopIfTrue="1">
      <formula>$C514="begin repeat"</formula>
    </cfRule>
    <cfRule type="expression" dxfId="717" priority="1176" stopIfTrue="1">
      <formula>$C514="end group"</formula>
    </cfRule>
  </conditionalFormatting>
  <conditionalFormatting sqref="L542:M542">
    <cfRule type="expression" dxfId="716" priority="1177" stopIfTrue="1">
      <formula>$C542="text"</formula>
    </cfRule>
    <cfRule type="expression" dxfId="715" priority="1178" stopIfTrue="1">
      <formula>$C542="end repeat"</formula>
    </cfRule>
  </conditionalFormatting>
  <conditionalFormatting sqref="L598:M598">
    <cfRule type="expression" dxfId="714" priority="1179" stopIfTrue="1">
      <formula>OR(AND(LEFT($C598, 16)="select_multiple ", LEN($C598)&gt;16, NOT(ISNUMBER(SEARCH(" ", $C598, 17)))), AND(LEFT($C598, 11)="select_one ", LEN($C598)&gt;11, NOT(ISNUMBER(SEARCH(" ", $C598, 12)))))</formula>
    </cfRule>
    <cfRule type="expression" dxfId="713" priority="1180" stopIfTrue="1">
      <formula>$C598="decimal"</formula>
    </cfRule>
    <cfRule type="expression" dxfId="712" priority="1181" stopIfTrue="1">
      <formula>$C598="integer"</formula>
    </cfRule>
    <cfRule type="expression" dxfId="711" priority="1182" stopIfTrue="1">
      <formula>$C598="text"</formula>
    </cfRule>
    <cfRule type="expression" dxfId="710" priority="1183" stopIfTrue="1">
      <formula>$C598="end repeat"</formula>
    </cfRule>
    <cfRule type="expression" dxfId="709" priority="1184" stopIfTrue="1">
      <formula>OR($C598="audio audit", $C598="text audit", $C598="speed violations count", $C598="speed violations list", $C598="speed violations audit")</formula>
    </cfRule>
    <cfRule type="expression" dxfId="708" priority="1186" stopIfTrue="1">
      <formula>$C598="begin group"</formula>
    </cfRule>
    <cfRule type="expression" dxfId="707" priority="1187" stopIfTrue="1">
      <formula>$C598="comments"</formula>
    </cfRule>
    <cfRule type="expression" dxfId="706" priority="1188" stopIfTrue="1">
      <formula>OR($C598="audio", $C598="video")</formula>
    </cfRule>
    <cfRule type="expression" dxfId="705" priority="1189" stopIfTrue="1">
      <formula>$C598="image"</formula>
    </cfRule>
    <cfRule type="expression" dxfId="704" priority="1190" stopIfTrue="1">
      <formula>OR($C598="date", $C598="datetime")</formula>
    </cfRule>
    <cfRule type="expression" dxfId="703" priority="1191" stopIfTrue="1">
      <formula>OR($C598="calculate", $C598="calculate_here")</formula>
    </cfRule>
    <cfRule type="expression" dxfId="702" priority="1192" stopIfTrue="1">
      <formula>$C598="note"</formula>
    </cfRule>
    <cfRule type="expression" dxfId="701" priority="1193" stopIfTrue="1">
      <formula>$C598="barcode"</formula>
    </cfRule>
    <cfRule type="expression" dxfId="700" priority="1194" stopIfTrue="1">
      <formula>$C598="begin repeat"</formula>
    </cfRule>
    <cfRule type="expression" dxfId="699" priority="1195" stopIfTrue="1">
      <formula>$C598="end group"</formula>
    </cfRule>
  </conditionalFormatting>
  <conditionalFormatting sqref="L598:N598">
    <cfRule type="expression" dxfId="698" priority="1185" stopIfTrue="1">
      <formula>OR($C598="username", $C598="phonenumber", $C598="start", $C598="end", $C598="deviceid", $C598="subscriberid", $C598="simserial", $C598="caseid")</formula>
    </cfRule>
  </conditionalFormatting>
  <conditionalFormatting sqref="L209:O209 C228:E233 O172:O177 H205:H207">
    <cfRule type="expression" dxfId="697" priority="1808" stopIfTrue="1">
      <formula>$C172="text"</formula>
    </cfRule>
  </conditionalFormatting>
  <conditionalFormatting sqref="M53">
    <cfRule type="expression" dxfId="696" priority="1196" stopIfTrue="1">
      <formula>OR($C53="audio audit", $C53="text audit", $C53="speed violations count", $C53="speed violations list", $C53="speed violations audit")</formula>
    </cfRule>
    <cfRule type="expression" dxfId="695" priority="1197" stopIfTrue="1">
      <formula>OR($C53="username", $C53="phonenumber", $C53="start", $C53="end", $C53="deviceid", $C53="subscriberid", $C53="simserial", $C53="caseid")</formula>
    </cfRule>
    <cfRule type="expression" dxfId="694" priority="1198" stopIfTrue="1">
      <formula>OR(AND(LEFT($C53, 16)="select_multiple ", LEN($C53)&gt;16, NOT(ISNUMBER(SEARCH(" ", $C53, 17)))), AND(LEFT($C53, 11)="select_one ", LEN($C53)&gt;11, NOT(ISNUMBER(SEARCH(" ", $C53, 12)))))</formula>
    </cfRule>
    <cfRule type="expression" dxfId="693" priority="1199" stopIfTrue="1">
      <formula>$C53="decimal"</formula>
    </cfRule>
    <cfRule type="expression" dxfId="692" priority="1200" stopIfTrue="1">
      <formula>$C53="integer"</formula>
    </cfRule>
    <cfRule type="expression" dxfId="691" priority="1201" stopIfTrue="1">
      <formula>$C53="text"</formula>
    </cfRule>
    <cfRule type="expression" dxfId="690" priority="1202" stopIfTrue="1">
      <formula>$C53="end repeat"</formula>
    </cfRule>
    <cfRule type="expression" dxfId="689" priority="1203" stopIfTrue="1">
      <formula>$C53="begin repeat"</formula>
    </cfRule>
    <cfRule type="expression" dxfId="688" priority="1204" stopIfTrue="1">
      <formula>$C53="end group"</formula>
    </cfRule>
    <cfRule type="expression" dxfId="687" priority="1205" stopIfTrue="1">
      <formula>$C53="begin group"</formula>
    </cfRule>
    <cfRule type="expression" dxfId="686" priority="1206" stopIfTrue="1">
      <formula>$C53="image"</formula>
    </cfRule>
    <cfRule type="expression" dxfId="685" priority="1207" stopIfTrue="1">
      <formula>OR($C53="date", $C53="datetime")</formula>
    </cfRule>
    <cfRule type="expression" dxfId="684" priority="1208" stopIfTrue="1">
      <formula>OR($C53="calculate", $C53="calculate_here")</formula>
    </cfRule>
    <cfRule type="expression" dxfId="683" priority="1209" stopIfTrue="1">
      <formula>$C53="note"</formula>
    </cfRule>
    <cfRule type="expression" dxfId="682" priority="1210" stopIfTrue="1">
      <formula>$C53="barcode"</formula>
    </cfRule>
  </conditionalFormatting>
  <conditionalFormatting sqref="M250">
    <cfRule type="expression" dxfId="681" priority="1212" stopIfTrue="1">
      <formula>OR($C250="geopoint", $C250="geoshape", $C250="geotrace")</formula>
    </cfRule>
    <cfRule type="expression" dxfId="680" priority="1213" stopIfTrue="1">
      <formula>OR($C250="audio audit", $C250="text audit", $C250="speed violations count", $C250="speed violations list", $C250="speed violations audit")</formula>
    </cfRule>
    <cfRule type="expression" dxfId="679" priority="1214" stopIfTrue="1">
      <formula>$C250="end group"</formula>
    </cfRule>
    <cfRule type="expression" dxfId="678" priority="1215" stopIfTrue="1">
      <formula>$C250="begin group"</formula>
    </cfRule>
  </conditionalFormatting>
  <conditionalFormatting sqref="M271:M278">
    <cfRule type="expression" dxfId="677" priority="1216" stopIfTrue="1">
      <formula>$C271="end repeat"</formula>
    </cfRule>
    <cfRule type="expression" dxfId="676" priority="1217" stopIfTrue="1">
      <formula>OR($C271="geopoint", $C271="geoshape", $C271="geotrace")</formula>
    </cfRule>
    <cfRule type="expression" dxfId="675" priority="1218" stopIfTrue="1">
      <formula>OR($C271="audio audit", $C271="text audit", $C271="speed violations count", $C271="speed violations list", $C271="speed violations audit")</formula>
    </cfRule>
    <cfRule type="expression" dxfId="674" priority="1219" stopIfTrue="1">
      <formula>OR($C271="username", $C271="phonenumber", $C271="start", $C271="end", $C271="deviceid", $C271="subscriberid", $C271="simserial", $C271="caseid")</formula>
    </cfRule>
    <cfRule type="expression" dxfId="673" priority="1220" stopIfTrue="1">
      <formula>OR(AND(LEFT($C271, 16)="select_multiple ", LEN($C271)&gt;16, NOT(ISNUMBER(SEARCH(" ", $C271, 17)))), AND(LEFT($C271, 11)="select_one ", LEN($C271)&gt;11, NOT(ISNUMBER(SEARCH(" ", $C271, 12)))))</formula>
    </cfRule>
    <cfRule type="expression" dxfId="672" priority="1221" stopIfTrue="1">
      <formula>$C271="begin repeat"</formula>
    </cfRule>
    <cfRule type="expression" dxfId="671" priority="1222" stopIfTrue="1">
      <formula>$C271="end group"</formula>
    </cfRule>
    <cfRule type="expression" dxfId="670" priority="1223" stopIfTrue="1">
      <formula>$C271="begin group"</formula>
    </cfRule>
  </conditionalFormatting>
  <conditionalFormatting sqref="M500">
    <cfRule type="expression" dxfId="669" priority="1227" stopIfTrue="1">
      <formula>OR($C500="audio", $C500="video")</formula>
    </cfRule>
    <cfRule type="expression" dxfId="668" priority="1228" stopIfTrue="1">
      <formula>$C500="image"</formula>
    </cfRule>
    <cfRule type="expression" dxfId="667" priority="1229" stopIfTrue="1">
      <formula>OR($C500="date", $C500="datetime")</formula>
    </cfRule>
    <cfRule type="expression" dxfId="666" priority="1230" stopIfTrue="1">
      <formula>OR($C500="calculate", $C500="calculate_here")</formula>
    </cfRule>
    <cfRule type="expression" dxfId="665" priority="1231" stopIfTrue="1">
      <formula>$C500="note"</formula>
    </cfRule>
    <cfRule type="expression" dxfId="664" priority="1232" stopIfTrue="1">
      <formula>$C500="barcode"</formula>
    </cfRule>
  </conditionalFormatting>
  <conditionalFormatting sqref="M321:U321">
    <cfRule type="expression" dxfId="663" priority="1235" stopIfTrue="1">
      <formula>$C321="begin group"</formula>
    </cfRule>
  </conditionalFormatting>
  <conditionalFormatting sqref="M542:U542">
    <cfRule type="expression" dxfId="662" priority="1236" stopIfTrue="1">
      <formula>$C542="begin group"</formula>
    </cfRule>
  </conditionalFormatting>
  <conditionalFormatting sqref="N87:N88">
    <cfRule type="expression" dxfId="661" priority="1238" stopIfTrue="1">
      <formula>$C87="comments"</formula>
    </cfRule>
    <cfRule type="expression" dxfId="660" priority="1239" stopIfTrue="1">
      <formula>OR($C87="audio", $C87="video")</formula>
    </cfRule>
    <cfRule type="expression" dxfId="659" priority="1240" stopIfTrue="1">
      <formula>$C87="image"</formula>
    </cfRule>
    <cfRule type="expression" dxfId="658" priority="1241" stopIfTrue="1">
      <formula>OR($C87="date", $C87="datetime")</formula>
    </cfRule>
    <cfRule type="expression" dxfId="657" priority="1242" stopIfTrue="1">
      <formula>OR($C87="calculate", $C87="calculate_here")</formula>
    </cfRule>
    <cfRule type="expression" dxfId="656" priority="1243" stopIfTrue="1">
      <formula>$C87="note"</formula>
    </cfRule>
    <cfRule type="expression" dxfId="655" priority="1244" stopIfTrue="1">
      <formula>$C87="barcode"</formula>
    </cfRule>
    <cfRule type="expression" dxfId="654" priority="1245" stopIfTrue="1">
      <formula>OR($C87="geopoint", $C87="geoshape", $C87="geotrace")</formula>
    </cfRule>
    <cfRule type="expression" dxfId="653" priority="1246" stopIfTrue="1">
      <formula>OR($C87="audio audit", $C87="text audit", $C87="speed violations count", $C87="speed violations list", $C87="speed violations audit")</formula>
    </cfRule>
    <cfRule type="expression" dxfId="652" priority="1247" stopIfTrue="1">
      <formula>OR($C87="username", $C87="phonenumber", $C87="start", $C87="end", $C87="deviceid", $C87="subscriberid", $C87="simserial", $C87="caseid")</formula>
    </cfRule>
    <cfRule type="expression" dxfId="651" priority="1248" stopIfTrue="1">
      <formula>OR(AND(LEFT($C87, 16)="select_multiple ", LEN($C87)&gt;16, NOT(ISNUMBER(SEARCH(" ", $C87, 17)))), AND(LEFT($C87, 11)="select_one ", LEN($C87)&gt;11, NOT(ISNUMBER(SEARCH(" ", $C87, 12)))))</formula>
    </cfRule>
    <cfRule type="expression" dxfId="650" priority="1249" stopIfTrue="1">
      <formula>$C87="decimal"</formula>
    </cfRule>
    <cfRule type="expression" dxfId="649" priority="1250" stopIfTrue="1">
      <formula>$C87="integer"</formula>
    </cfRule>
    <cfRule type="expression" dxfId="648" priority="1251" stopIfTrue="1">
      <formula>$C87="text"</formula>
    </cfRule>
    <cfRule type="expression" dxfId="647" priority="1252" stopIfTrue="1">
      <formula>$C87="end repeat"</formula>
    </cfRule>
    <cfRule type="expression" dxfId="646" priority="1253" stopIfTrue="1">
      <formula>$C87="begin repeat"</formula>
    </cfRule>
    <cfRule type="expression" dxfId="645" priority="1254" stopIfTrue="1">
      <formula>$C87="end group"</formula>
    </cfRule>
    <cfRule type="expression" dxfId="644" priority="1255" stopIfTrue="1">
      <formula>$C87="begin group"</formula>
    </cfRule>
    <cfRule type="expression" dxfId="643" priority="1256" stopIfTrue="1">
      <formula>OR(AND(LEFT($C87, 16)="select_multiple ", LEN($C87)&gt;16, NOT(ISNUMBER(SEARCH(" ", $C87, 17)))), AND(LEFT($C87, 11)="select_one ", LEN($C87)&gt;11, NOT(ISNUMBER(SEARCH(" ", $C87, 12)))))</formula>
    </cfRule>
    <cfRule type="expression" dxfId="642" priority="1257" stopIfTrue="1">
      <formula>$C87="decimal"</formula>
    </cfRule>
    <cfRule type="expression" dxfId="641" priority="1258" stopIfTrue="1">
      <formula>$C87="integer"</formula>
    </cfRule>
    <cfRule type="expression" dxfId="640" priority="1259" stopIfTrue="1">
      <formula>$C87="text"</formula>
    </cfRule>
    <cfRule type="expression" dxfId="639" priority="1260" stopIfTrue="1">
      <formula>$C87="end repeat"</formula>
    </cfRule>
    <cfRule type="expression" dxfId="638" priority="1261" stopIfTrue="1">
      <formula>OR($C87="audio audit", $C87="text audit", $C87="speed violations count", $C87="speed violations list", $C87="speed violations audit")</formula>
    </cfRule>
    <cfRule type="expression" dxfId="637" priority="1262" stopIfTrue="1">
      <formula>OR($C87="username", $C87="phonenumber", $C87="start", $C87="end", $C87="deviceid", $C87="subscriberid", $C87="simserial", $C87="caseid")</formula>
    </cfRule>
    <cfRule type="expression" dxfId="636" priority="1263" stopIfTrue="1">
      <formula>$C87="begin repeat"</formula>
    </cfRule>
    <cfRule type="expression" dxfId="635" priority="1264" stopIfTrue="1">
      <formula>$C87="end group"</formula>
    </cfRule>
  </conditionalFormatting>
  <conditionalFormatting sqref="N140:N143">
    <cfRule type="expression" dxfId="634" priority="1265" stopIfTrue="1">
      <formula>OR($C140="audio audit", $C140="text audit", $C140="speed violations count", $C140="speed violations list", $C140="speed violations audit")</formula>
    </cfRule>
  </conditionalFormatting>
  <conditionalFormatting sqref="N172:N177">
    <cfRule type="expression" dxfId="633" priority="1266" stopIfTrue="1">
      <formula>#REF!="comments"</formula>
    </cfRule>
    <cfRule type="expression" dxfId="632" priority="1267" stopIfTrue="1">
      <formula>OR(#REF!="audio", #REF!="video")</formula>
    </cfRule>
    <cfRule type="expression" dxfId="631" priority="1268" stopIfTrue="1">
      <formula>#REF!="image"</formula>
    </cfRule>
    <cfRule type="expression" dxfId="630" priority="1269" stopIfTrue="1">
      <formula>OR(#REF!="date", #REF!="datetime")</formula>
    </cfRule>
    <cfRule type="expression" dxfId="629" priority="1270" stopIfTrue="1">
      <formula>OR(#REF!="calculate", #REF!="calculate_here")</formula>
    </cfRule>
    <cfRule type="expression" dxfId="628" priority="1271" stopIfTrue="1">
      <formula>#REF!="note"</formula>
    </cfRule>
    <cfRule type="expression" dxfId="627" priority="1272" stopIfTrue="1">
      <formula>#REF!="barcode"</formula>
    </cfRule>
    <cfRule type="expression" dxfId="626" priority="1273" stopIfTrue="1">
      <formula>OR(#REF!="geopoint", #REF!="geoshape", #REF!="geotrace")</formula>
    </cfRule>
    <cfRule type="expression" dxfId="625" priority="1274" stopIfTrue="1">
      <formula>OR(#REF!="audio audit", #REF!="text audit", #REF!="speed violations count", #REF!="speed violations list", #REF!="speed violations audit")</formula>
    </cfRule>
    <cfRule type="expression" dxfId="624" priority="1275" stopIfTrue="1">
      <formula>OR(#REF!="username", #REF!="phonenumber", #REF!="start", #REF!="end", #REF!="deviceid", #REF!="subscriberid", #REF!="simserial", #REF!="caseid")</formula>
    </cfRule>
    <cfRule type="expression" dxfId="623" priority="1276" stopIfTrue="1">
      <formula>OR(AND(LEFT(#REF!, 16)="select_multiple ", LEN(#REF!)&gt;16, NOT(ISNUMBER(SEARCH(" ", #REF!, 17)))), AND(LEFT(#REF!, 11)="select_one ", LEN(#REF!)&gt;11, NOT(ISNUMBER(SEARCH(" ", #REF!, 12)))))</formula>
    </cfRule>
    <cfRule type="expression" dxfId="622" priority="1277" stopIfTrue="1">
      <formula>#REF!="decimal"</formula>
    </cfRule>
    <cfRule type="expression" dxfId="621" priority="1278" stopIfTrue="1">
      <formula>#REF!="integer"</formula>
    </cfRule>
    <cfRule type="expression" dxfId="620" priority="1279" stopIfTrue="1">
      <formula>#REF!="text"</formula>
    </cfRule>
    <cfRule type="expression" dxfId="619" priority="1280" stopIfTrue="1">
      <formula>#REF!="end repeat"</formula>
    </cfRule>
    <cfRule type="expression" dxfId="618" priority="1281" stopIfTrue="1">
      <formula>#REF!="begin repeat"</formula>
    </cfRule>
    <cfRule type="expression" dxfId="617" priority="1282" stopIfTrue="1">
      <formula>#REF!="end group"</formula>
    </cfRule>
    <cfRule type="expression" dxfId="616" priority="1283" stopIfTrue="1">
      <formula>#REF!="begin group"</formula>
    </cfRule>
  </conditionalFormatting>
  <conditionalFormatting sqref="N208:N215">
    <cfRule type="expression" dxfId="615" priority="1284" stopIfTrue="1">
      <formula>#REF!="image"</formula>
    </cfRule>
    <cfRule type="expression" dxfId="614" priority="1285" stopIfTrue="1">
      <formula>OR(#REF!="date", #REF!="datetime")</formula>
    </cfRule>
    <cfRule type="expression" dxfId="613" priority="1286" stopIfTrue="1">
      <formula>OR(#REF!="calculate", #REF!="calculate_here")</formula>
    </cfRule>
    <cfRule type="expression" dxfId="612" priority="1287" stopIfTrue="1">
      <formula>OR(#REF!="geopoint", #REF!="geoshape", #REF!="geotrace")</formula>
    </cfRule>
    <cfRule type="expression" dxfId="611" priority="1288" stopIfTrue="1">
      <formula>OR(#REF!="audio audit", #REF!="text audit", #REF!="speed violations count", #REF!="speed violations list", #REF!="speed violations audit")</formula>
    </cfRule>
    <cfRule type="expression" dxfId="610" priority="1289" stopIfTrue="1">
      <formula>OR(#REF!="username", #REF!="phonenumber", #REF!="start", #REF!="end", #REF!="deviceid", #REF!="subscriberid", #REF!="simserial", #REF!="caseid")</formula>
    </cfRule>
    <cfRule type="expression" dxfId="609" priority="1290" stopIfTrue="1">
      <formula>OR(AND(LEFT(#REF!, 16)="select_multiple ", LEN(#REF!)&gt;16, NOT(ISNUMBER(SEARCH(" ", #REF!, 17)))), AND(LEFT(#REF!, 11)="select_one ", LEN(#REF!)&gt;11, NOT(ISNUMBER(SEARCH(" ", #REF!, 12)))))</formula>
    </cfRule>
    <cfRule type="expression" dxfId="608" priority="1291" stopIfTrue="1">
      <formula>#REF!="decimal"</formula>
    </cfRule>
    <cfRule type="expression" dxfId="607" priority="1292" stopIfTrue="1">
      <formula>#REF!="integer"</formula>
    </cfRule>
    <cfRule type="expression" dxfId="606" priority="1293" stopIfTrue="1">
      <formula>#REF!="text"</formula>
    </cfRule>
    <cfRule type="expression" dxfId="605" priority="1294" stopIfTrue="1">
      <formula>#REF!="end repeat"</formula>
    </cfRule>
    <cfRule type="expression" dxfId="604" priority="1295" stopIfTrue="1">
      <formula>#REF!="begin repeat"</formula>
    </cfRule>
    <cfRule type="expression" dxfId="603" priority="1296" stopIfTrue="1">
      <formula>#REF!="end group"</formula>
    </cfRule>
    <cfRule type="expression" dxfId="602" priority="1297" stopIfTrue="1">
      <formula>#REF!="begin group"</formula>
    </cfRule>
  </conditionalFormatting>
  <conditionalFormatting sqref="N209:N215">
    <cfRule type="expression" dxfId="601" priority="1298" stopIfTrue="1">
      <formula>#REF!="comments"</formula>
    </cfRule>
    <cfRule type="expression" dxfId="600" priority="1299" stopIfTrue="1">
      <formula>OR(#REF!="audio", #REF!="video")</formula>
    </cfRule>
    <cfRule type="expression" dxfId="599" priority="1300" stopIfTrue="1">
      <formula>#REF!="note"</formula>
    </cfRule>
    <cfRule type="expression" dxfId="598" priority="1301" stopIfTrue="1">
      <formula>#REF!="barcode"</formula>
    </cfRule>
    <cfRule type="expression" dxfId="597" priority="1302" stopIfTrue="1">
      <formula>$C209="comments"</formula>
    </cfRule>
    <cfRule type="expression" dxfId="596" priority="1303" stopIfTrue="1">
      <formula>$C209="image"</formula>
    </cfRule>
    <cfRule type="expression" dxfId="595" priority="1304" stopIfTrue="1">
      <formula>OR($C209="audio", $C209="video")</formula>
    </cfRule>
    <cfRule type="expression" dxfId="594" priority="1305" stopIfTrue="1">
      <formula>OR($C209="date", $C209="datetime")</formula>
    </cfRule>
    <cfRule type="expression" dxfId="593" priority="1306" stopIfTrue="1">
      <formula>OR($C209="calculate", $C209="calculate_here")</formula>
    </cfRule>
  </conditionalFormatting>
  <conditionalFormatting sqref="N228:N233">
    <cfRule type="expression" dxfId="592" priority="1307" stopIfTrue="1">
      <formula>$C228="comments"</formula>
    </cfRule>
    <cfRule type="expression" dxfId="591" priority="1308" stopIfTrue="1">
      <formula>OR($C228="audio", $C228="video")</formula>
    </cfRule>
    <cfRule type="expression" dxfId="590" priority="1309" stopIfTrue="1">
      <formula>$C228="image"</formula>
    </cfRule>
    <cfRule type="expression" dxfId="589" priority="1310" stopIfTrue="1">
      <formula>OR($C228="date", $C228="datetime")</formula>
    </cfRule>
    <cfRule type="expression" dxfId="588" priority="1311" stopIfTrue="1">
      <formula>OR($C228="calculate", $C228="calculate_here")</formula>
    </cfRule>
    <cfRule type="expression" dxfId="587" priority="1312" stopIfTrue="1">
      <formula>$C228="note"</formula>
    </cfRule>
    <cfRule type="expression" dxfId="586" priority="1313" stopIfTrue="1">
      <formula>$C228="barcode"</formula>
    </cfRule>
    <cfRule type="expression" dxfId="585" priority="1314" stopIfTrue="1">
      <formula>OR($C228="username", $C228="phonenumber", $C228="start", $C228="end", $C228="deviceid", $C228="subscriberid", $C228="simserial", $C228="caseid")</formula>
    </cfRule>
    <cfRule type="expression" dxfId="584" priority="1315" stopIfTrue="1">
      <formula>OR(AND(LEFT($C228, 16)="select_multiple ", LEN($C228)&gt;16, NOT(ISNUMBER(SEARCH(" ", $C228, 17)))), AND(LEFT($C228, 11)="select_one ", LEN($C228)&gt;11, NOT(ISNUMBER(SEARCH(" ", $C228, 12)))))</formula>
    </cfRule>
    <cfRule type="expression" dxfId="583" priority="1316" stopIfTrue="1">
      <formula>$C228="decimal"</formula>
    </cfRule>
    <cfRule type="expression" dxfId="582" priority="1317" stopIfTrue="1">
      <formula>$C228="integer"</formula>
    </cfRule>
    <cfRule type="expression" dxfId="581" priority="1318" stopIfTrue="1">
      <formula>$C228="text"</formula>
    </cfRule>
    <cfRule type="expression" dxfId="580" priority="1319" stopIfTrue="1">
      <formula>$C228="end repeat"</formula>
    </cfRule>
    <cfRule type="expression" dxfId="579" priority="1320" stopIfTrue="1">
      <formula>$C228="begin repeat"</formula>
    </cfRule>
    <cfRule type="expression" dxfId="578" priority="1321" stopIfTrue="1">
      <formula>$C228="end group"</formula>
    </cfRule>
    <cfRule type="expression" dxfId="577" priority="1322" stopIfTrue="1">
      <formula>$C228="begin group"</formula>
    </cfRule>
  </conditionalFormatting>
  <conditionalFormatting sqref="N245 H280 H282 L641">
    <cfRule type="expression" dxfId="576" priority="1327" stopIfTrue="1">
      <formula>$C245="begin repeat"</formula>
    </cfRule>
  </conditionalFormatting>
  <conditionalFormatting sqref="N245 H634:H646 L641">
    <cfRule type="expression" dxfId="575" priority="1325" stopIfTrue="1">
      <formula>$C245="end repeat"</formula>
    </cfRule>
  </conditionalFormatting>
  <conditionalFormatting sqref="N245 L641 H280 H282">
    <cfRule type="expression" dxfId="574" priority="1323" stopIfTrue="1">
      <formula>$C245="barcode"</formula>
    </cfRule>
    <cfRule type="expression" dxfId="573" priority="1326" stopIfTrue="1">
      <formula>$C245="note"</formula>
    </cfRule>
  </conditionalFormatting>
  <conditionalFormatting sqref="N245 L641 H634:H644">
    <cfRule type="expression" dxfId="572" priority="1324" stopIfTrue="1">
      <formula>$C245="integer"</formula>
    </cfRule>
  </conditionalFormatting>
  <conditionalFormatting sqref="N245 L641 H634:H645">
    <cfRule type="expression" dxfId="571" priority="1328" stopIfTrue="1">
      <formula>$C245="decimal"</formula>
    </cfRule>
  </conditionalFormatting>
  <conditionalFormatting sqref="N245 L641">
    <cfRule type="expression" dxfId="570" priority="1329" stopIfTrue="1">
      <formula>OR($C245="calculate", $C245="calculate_here")</formula>
    </cfRule>
  </conditionalFormatting>
  <conditionalFormatting sqref="N248">
    <cfRule type="expression" dxfId="569" priority="1330" stopIfTrue="1">
      <formula>OR($C249="geopoint", $C249="geoshape", $C249="geotrace")</formula>
    </cfRule>
    <cfRule type="expression" dxfId="568" priority="1331" stopIfTrue="1">
      <formula>OR($C249="audio audit", $C249="text audit", $C249="speed violations count", $C249="speed violations list", $C249="speed violations audit")</formula>
    </cfRule>
    <cfRule type="expression" dxfId="567" priority="1332" stopIfTrue="1">
      <formula>OR($C249="username", $C249="phonenumber", $C249="start", $C249="end", $C249="deviceid", $C249="subscriberid", $C249="simserial", $C249="caseid")</formula>
    </cfRule>
    <cfRule type="expression" dxfId="566" priority="1333" stopIfTrue="1">
      <formula>OR(AND(LEFT($C249, 16)="select_multiple ", LEN($C249)&gt;16, NOT(ISNUMBER(SEARCH(" ", $C249, 17)))), AND(LEFT($C249, 11)="select_one ", LEN($C249)&gt;11, NOT(ISNUMBER(SEARCH(" ", $C249, 12)))))</formula>
    </cfRule>
    <cfRule type="expression" dxfId="565" priority="1334" stopIfTrue="1">
      <formula>$C249="decimal"</formula>
    </cfRule>
    <cfRule type="expression" dxfId="564" priority="1335" stopIfTrue="1">
      <formula>$C249="integer"</formula>
    </cfRule>
    <cfRule type="expression" dxfId="563" priority="1336" stopIfTrue="1">
      <formula>$C249="text"</formula>
    </cfRule>
    <cfRule type="expression" dxfId="562" priority="1337" stopIfTrue="1">
      <formula>$C249="end repeat"</formula>
    </cfRule>
    <cfRule type="expression" dxfId="561" priority="1338" stopIfTrue="1">
      <formula>$C249="begin repeat"</formula>
    </cfRule>
    <cfRule type="expression" dxfId="560" priority="1339" stopIfTrue="1">
      <formula>$C249="end group"</formula>
    </cfRule>
    <cfRule type="expression" dxfId="559" priority="1340" stopIfTrue="1">
      <formula>$C249="begin group"</formula>
    </cfRule>
    <cfRule type="expression" dxfId="558" priority="1341" stopIfTrue="1">
      <formula>OR($C249="geopoint", $C249="geoshape", $C249="geotrace")</formula>
    </cfRule>
    <cfRule type="expression" dxfId="557" priority="1342" stopIfTrue="1">
      <formula>OR($C249="audio audit", $C249="text audit", $C249="speed violations count", $C249="speed violations list", $C249="speed violations audit")</formula>
    </cfRule>
    <cfRule type="expression" dxfId="556" priority="1343" stopIfTrue="1">
      <formula>OR($C249="username", $C249="phonenumber", $C249="start", $C249="end", $C249="deviceid", $C249="subscriberid", $C249="simserial", $C249="caseid")</formula>
    </cfRule>
    <cfRule type="expression" dxfId="555" priority="1344" stopIfTrue="1">
      <formula>OR(AND(LEFT($C249, 16)="select_multiple ", LEN($C249)&gt;16, NOT(ISNUMBER(SEARCH(" ", $C249, 17)))), AND(LEFT($C249, 11)="select_one ", LEN($C249)&gt;11, NOT(ISNUMBER(SEARCH(" ", $C249, 12)))))</formula>
    </cfRule>
    <cfRule type="expression" dxfId="554" priority="1345" stopIfTrue="1">
      <formula>$C249="decimal"</formula>
    </cfRule>
    <cfRule type="expression" dxfId="553" priority="1346" stopIfTrue="1">
      <formula>$C249="integer"</formula>
    </cfRule>
    <cfRule type="expression" dxfId="552" priority="1347" stopIfTrue="1">
      <formula>$C249="text"</formula>
    </cfRule>
    <cfRule type="expression" dxfId="551" priority="1348" stopIfTrue="1">
      <formula>$C249="end repeat"</formula>
    </cfRule>
    <cfRule type="expression" dxfId="550" priority="1349" stopIfTrue="1">
      <formula>$C249="end group"</formula>
    </cfRule>
    <cfRule type="expression" dxfId="549" priority="1350" stopIfTrue="1">
      <formula>$C249="begin group"</formula>
    </cfRule>
    <cfRule type="expression" dxfId="548" priority="1351" stopIfTrue="1">
      <formula>$C249="begin repeat"</formula>
    </cfRule>
    <cfRule type="expression" dxfId="547" priority="1352" stopIfTrue="1">
      <formula>$C249="note"</formula>
    </cfRule>
    <cfRule type="expression" dxfId="546" priority="1353" stopIfTrue="1">
      <formula>$C249="barcode"</formula>
    </cfRule>
    <cfRule type="expression" dxfId="545" priority="1354" stopIfTrue="1">
      <formula>$C249="image"</formula>
    </cfRule>
    <cfRule type="expression" dxfId="544" priority="1355" stopIfTrue="1">
      <formula>OR($C249="date", $C249="datetime")</formula>
    </cfRule>
    <cfRule type="expression" dxfId="543" priority="1356" stopIfTrue="1">
      <formula>OR($C249="calculate", $C249="calculate_here")</formula>
    </cfRule>
    <cfRule type="expression" dxfId="542" priority="1357" stopIfTrue="1">
      <formula>$C249="comments"</formula>
    </cfRule>
    <cfRule type="expression" dxfId="541" priority="1358" stopIfTrue="1">
      <formula>OR($C249="audio", $C249="video")</formula>
    </cfRule>
    <cfRule type="expression" dxfId="540" priority="1359" stopIfTrue="1">
      <formula>$C249="barcode"</formula>
    </cfRule>
    <cfRule type="expression" dxfId="539" priority="1360" stopIfTrue="1">
      <formula>$C249="note"</formula>
    </cfRule>
    <cfRule type="expression" dxfId="538" priority="1361" stopIfTrue="1">
      <formula>$C249="begin group"</formula>
    </cfRule>
    <cfRule type="expression" dxfId="537" priority="1362" stopIfTrue="1">
      <formula>OR($C249="audio audit", $C249="text audit", $C249="speed violations count", $C249="speed violations list", $C249="speed violations audit")</formula>
    </cfRule>
    <cfRule type="expression" dxfId="536" priority="1363" stopIfTrue="1">
      <formula>OR($C249="username", $C249="phonenumber", $C249="start", $C249="end", $C249="deviceid", $C249="subscriberid", $C249="simserial", $C249="caseid")</formula>
    </cfRule>
    <cfRule type="expression" dxfId="535" priority="1364" stopIfTrue="1">
      <formula>OR(AND(LEFT($C249, 16)="select_multiple ", LEN($C249)&gt;16, NOT(ISNUMBER(SEARCH(" ", $C249, 17)))), AND(LEFT($C249, 11)="select_one ", LEN($C249)&gt;11, NOT(ISNUMBER(SEARCH(" ", $C249, 12)))))</formula>
    </cfRule>
    <cfRule type="expression" dxfId="534" priority="1365" stopIfTrue="1">
      <formula>$C249="decimal"</formula>
    </cfRule>
    <cfRule type="expression" dxfId="533" priority="1366" stopIfTrue="1">
      <formula>$C249="integer"</formula>
    </cfRule>
    <cfRule type="expression" dxfId="532" priority="1367" stopIfTrue="1">
      <formula>$C249="text"</formula>
    </cfRule>
    <cfRule type="expression" dxfId="531" priority="1368" stopIfTrue="1">
      <formula>$C249="end repeat"</formula>
    </cfRule>
    <cfRule type="expression" dxfId="530" priority="1369" stopIfTrue="1">
      <formula>$C249="begin repeat"</formula>
    </cfRule>
    <cfRule type="expression" dxfId="529" priority="1370" stopIfTrue="1">
      <formula>$C249="end group"</formula>
    </cfRule>
    <cfRule type="expression" dxfId="528" priority="1371" stopIfTrue="1">
      <formula>$C249="comments"</formula>
    </cfRule>
    <cfRule type="expression" dxfId="527" priority="1372" stopIfTrue="1">
      <formula>OR($C249="audio", $C249="video")</formula>
    </cfRule>
    <cfRule type="expression" dxfId="526" priority="1373" stopIfTrue="1">
      <formula>$C249="image"</formula>
    </cfRule>
    <cfRule type="expression" dxfId="525" priority="1374" stopIfTrue="1">
      <formula>OR($C249="date", $C249="datetime")</formula>
    </cfRule>
    <cfRule type="expression" dxfId="524" priority="1375" stopIfTrue="1">
      <formula>OR($C249="calculate", $C249="calculate_here")</formula>
    </cfRule>
    <cfRule type="expression" dxfId="523" priority="1376" stopIfTrue="1">
      <formula>$C249="note"</formula>
    </cfRule>
    <cfRule type="expression" dxfId="522" priority="1377" stopIfTrue="1">
      <formula>$C249="barcode"</formula>
    </cfRule>
    <cfRule type="expression" dxfId="521" priority="1378" stopIfTrue="1">
      <formula>OR($C249="geopoint", $C249="geoshape", $C249="geotrace")</formula>
    </cfRule>
  </conditionalFormatting>
  <conditionalFormatting sqref="N249 K512">
    <cfRule type="expression" dxfId="520" priority="1386" stopIfTrue="1">
      <formula>OR($C249="geopoint", $C249="geoshape", $C249="geotrace")</formula>
    </cfRule>
    <cfRule type="expression" dxfId="519" priority="1387" stopIfTrue="1">
      <formula>OR($C249="audio audit", $C249="text audit", $C249="speed violations count", $C249="speed violations list", $C249="speed violations audit")</formula>
    </cfRule>
    <cfRule type="expression" dxfId="518" priority="1388" stopIfTrue="1">
      <formula>OR($C249="username", $C249="phonenumber", $C249="start", $C249="end", $C249="deviceid", $C249="subscriberid", $C249="simserial", $C249="caseid")</formula>
    </cfRule>
    <cfRule type="expression" dxfId="517" priority="1389" stopIfTrue="1">
      <formula>OR(AND(LEFT($C249, 16)="select_multiple ", LEN($C249)&gt;16, NOT(ISNUMBER(SEARCH(" ", $C249, 17)))), AND(LEFT($C249, 11)="select_one ", LEN($C249)&gt;11, NOT(ISNUMBER(SEARCH(" ", $C249, 12)))))</formula>
    </cfRule>
    <cfRule type="expression" dxfId="516" priority="1390" stopIfTrue="1">
      <formula>$C249="decimal"</formula>
    </cfRule>
    <cfRule type="expression" dxfId="515" priority="1391" stopIfTrue="1">
      <formula>$C249="integer"</formula>
    </cfRule>
    <cfRule type="expression" dxfId="514" priority="1392" stopIfTrue="1">
      <formula>$C249="text"</formula>
    </cfRule>
    <cfRule type="expression" dxfId="513" priority="1393" stopIfTrue="1">
      <formula>$C249="end repeat"</formula>
    </cfRule>
    <cfRule type="expression" dxfId="512" priority="1394" stopIfTrue="1">
      <formula>$C249="begin repeat"</formula>
    </cfRule>
    <cfRule type="expression" dxfId="511" priority="1395" stopIfTrue="1">
      <formula>$C249="end group"</formula>
    </cfRule>
    <cfRule type="expression" dxfId="510" priority="1396" stopIfTrue="1">
      <formula>$C249="begin group"</formula>
    </cfRule>
  </conditionalFormatting>
  <conditionalFormatting sqref="N249">
    <cfRule type="expression" dxfId="509" priority="1379" stopIfTrue="1">
      <formula>$C249="note"</formula>
    </cfRule>
    <cfRule type="expression" dxfId="508" priority="1380" stopIfTrue="1">
      <formula>$C249="barcode"</formula>
    </cfRule>
    <cfRule type="expression" dxfId="507" priority="1381" stopIfTrue="1">
      <formula>$C249="comments"</formula>
    </cfRule>
    <cfRule type="expression" dxfId="506" priority="1382" stopIfTrue="1">
      <formula>OR($C249="audio", $C249="video")</formula>
    </cfRule>
    <cfRule type="expression" dxfId="505" priority="1383" stopIfTrue="1">
      <formula>$C249="image"</formula>
    </cfRule>
    <cfRule type="expression" dxfId="504" priority="1384" stopIfTrue="1">
      <formula>OR($C249="date", $C249="datetime")</formula>
    </cfRule>
    <cfRule type="expression" dxfId="503" priority="1385" stopIfTrue="1">
      <formula>OR($C249="calculate", $C249="calculate_here")</formula>
    </cfRule>
    <cfRule type="expression" dxfId="502" priority="1397" stopIfTrue="1">
      <formula>$C249="barcode"</formula>
    </cfRule>
  </conditionalFormatting>
  <conditionalFormatting sqref="N271:N278">
    <cfRule type="expression" dxfId="501" priority="1398" stopIfTrue="1">
      <formula>$C271="image"</formula>
    </cfRule>
    <cfRule type="expression" dxfId="500" priority="1399" stopIfTrue="1">
      <formula>OR($C271="calculate", $C271="calculate_here")</formula>
    </cfRule>
    <cfRule type="expression" dxfId="499" priority="1400" stopIfTrue="1">
      <formula>$C271="note"</formula>
    </cfRule>
    <cfRule type="expression" dxfId="498" priority="1401" stopIfTrue="1">
      <formula>$C271="barcode"</formula>
    </cfRule>
  </conditionalFormatting>
  <conditionalFormatting sqref="N302">
    <cfRule type="expression" dxfId="497" priority="1402" stopIfTrue="1">
      <formula>OR($C302="audio", $C302="video")</formula>
    </cfRule>
    <cfRule type="expression" dxfId="496" priority="1403" stopIfTrue="1">
      <formula>$C302="image"</formula>
    </cfRule>
    <cfRule type="expression" dxfId="495" priority="1404" stopIfTrue="1">
      <formula>OR($C302="date", $C302="datetime")</formula>
    </cfRule>
    <cfRule type="expression" dxfId="494" priority="1405" stopIfTrue="1">
      <formula>OR($C302="calculate", $C302="calculate_here")</formula>
    </cfRule>
    <cfRule type="expression" dxfId="493" priority="1406" stopIfTrue="1">
      <formula>$C302="note"</formula>
    </cfRule>
    <cfRule type="expression" dxfId="492" priority="1407" stopIfTrue="1">
      <formula>$C302="barcode"</formula>
    </cfRule>
    <cfRule type="expression" dxfId="491" priority="1408" stopIfTrue="1">
      <formula>OR($C302="geopoint", $C302="geoshape", $C302="geotrace")</formula>
    </cfRule>
    <cfRule type="expression" dxfId="490" priority="1409" stopIfTrue="1">
      <formula>OR($C302="audio audit", $C302="text audit", $C302="speed violations count", $C302="speed violations list", $C302="speed violations audit")</formula>
    </cfRule>
    <cfRule type="expression" dxfId="489" priority="1410" stopIfTrue="1">
      <formula>OR($C302="username", $C302="phonenumber", $C302="start", $C302="end", $C302="deviceid", $C302="subscriberid", $C302="simserial", $C302="caseid")</formula>
    </cfRule>
    <cfRule type="expression" dxfId="488" priority="1411" stopIfTrue="1">
      <formula>OR(AND(LEFT($C302, 16)="select_multiple ", LEN($C302)&gt;16, NOT(ISNUMBER(SEARCH(" ", $C302, 17)))), AND(LEFT($C302, 11)="select_one ", LEN($C302)&gt;11, NOT(ISNUMBER(SEARCH(" ", $C302, 12)))))</formula>
    </cfRule>
    <cfRule type="expression" dxfId="487" priority="1412" stopIfTrue="1">
      <formula>$C302="decimal"</formula>
    </cfRule>
    <cfRule type="expression" dxfId="486" priority="1413" stopIfTrue="1">
      <formula>$C302="integer"</formula>
    </cfRule>
    <cfRule type="expression" dxfId="485" priority="1414" stopIfTrue="1">
      <formula>$C302="text"</formula>
    </cfRule>
    <cfRule type="expression" dxfId="484" priority="1415" stopIfTrue="1">
      <formula>$C302="end repeat"</formula>
    </cfRule>
    <cfRule type="expression" dxfId="483" priority="1416" stopIfTrue="1">
      <formula>$C302="begin repeat"</formula>
    </cfRule>
    <cfRule type="expression" dxfId="482" priority="1417" stopIfTrue="1">
      <formula>$C302="end group"</formula>
    </cfRule>
    <cfRule type="expression" dxfId="481" priority="1418" stopIfTrue="1">
      <formula>$C302="begin group"</formula>
    </cfRule>
    <cfRule type="expression" dxfId="480" priority="1419" stopIfTrue="1">
      <formula>$C302="comments"</formula>
    </cfRule>
    <cfRule type="expression" dxfId="479" priority="1420" stopIfTrue="1">
      <formula>OR($C302="audio", $C302="video")</formula>
    </cfRule>
    <cfRule type="expression" dxfId="478" priority="1421" stopIfTrue="1">
      <formula>$C302="image"</formula>
    </cfRule>
    <cfRule type="expression" dxfId="477" priority="1422" stopIfTrue="1">
      <formula>OR($C302="date", $C302="datetime")</formula>
    </cfRule>
    <cfRule type="expression" dxfId="476" priority="1423" stopIfTrue="1">
      <formula>OR($C302="calculate", $C302="calculate_here")</formula>
    </cfRule>
  </conditionalFormatting>
  <conditionalFormatting sqref="N422">
    <cfRule type="expression" dxfId="475" priority="1424" stopIfTrue="1">
      <formula>$C422="begin repeat"</formula>
    </cfRule>
    <cfRule type="expression" dxfId="474" priority="1425" stopIfTrue="1">
      <formula>$C422="end group"</formula>
    </cfRule>
    <cfRule type="expression" dxfId="473" priority="1426" stopIfTrue="1">
      <formula>$C422="comments"</formula>
    </cfRule>
    <cfRule type="expression" dxfId="472" priority="1427" stopIfTrue="1">
      <formula>OR($C422="audio", $C422="video")</formula>
    </cfRule>
    <cfRule type="expression" dxfId="471" priority="1428" stopIfTrue="1">
      <formula>$C422="image"</formula>
    </cfRule>
    <cfRule type="expression" dxfId="470" priority="1429" stopIfTrue="1">
      <formula>OR($C422="date", $C422="datetime")</formula>
    </cfRule>
    <cfRule type="expression" dxfId="469" priority="1430" stopIfTrue="1">
      <formula>OR($C422="calculate", $C422="calculate_here")</formula>
    </cfRule>
    <cfRule type="expression" dxfId="468" priority="1431" stopIfTrue="1">
      <formula>$C422="note"</formula>
    </cfRule>
    <cfRule type="expression" dxfId="467" priority="1432" stopIfTrue="1">
      <formula>$C422="barcode"</formula>
    </cfRule>
    <cfRule type="expression" dxfId="466" priority="1433" stopIfTrue="1">
      <formula>OR(AND(LEFT($C422, 16)="select_multiple ", LEN($C422)&gt;16, NOT(ISNUMBER(SEARCH(" ", $C422, 17)))), AND(LEFT($C422, 11)="select_one ", LEN($C422)&gt;11, NOT(ISNUMBER(SEARCH(" ", $C422, 12)))))</formula>
    </cfRule>
    <cfRule type="expression" dxfId="465" priority="1434" stopIfTrue="1">
      <formula>$C422="decimal"</formula>
    </cfRule>
    <cfRule type="expression" dxfId="464" priority="1435" stopIfTrue="1">
      <formula>$C422="integer"</formula>
    </cfRule>
    <cfRule type="expression" dxfId="463" priority="1436" stopIfTrue="1">
      <formula>$C422="text"</formula>
    </cfRule>
    <cfRule type="expression" dxfId="462" priority="1437" stopIfTrue="1">
      <formula>$C422="end repeat"</formula>
    </cfRule>
    <cfRule type="expression" dxfId="461" priority="1438" stopIfTrue="1">
      <formula>OR($C422="audio audit", $C422="text audit", $C422="speed violations count", $C422="speed violations list", $C422="speed violations audit")</formula>
    </cfRule>
    <cfRule type="expression" dxfId="460" priority="1439" stopIfTrue="1">
      <formula>OR($C422="username", $C422="phonenumber", $C422="start", $C422="end", $C422="deviceid", $C422="subscriberid", $C422="simserial", $C422="caseid")</formula>
    </cfRule>
    <cfRule type="expression" dxfId="459" priority="1440" stopIfTrue="1">
      <formula>$C422="begin repeat"</formula>
    </cfRule>
    <cfRule type="expression" dxfId="458" priority="1441" stopIfTrue="1">
      <formula>$C422="end group"</formula>
    </cfRule>
    <cfRule type="expression" dxfId="457" priority="1442" stopIfTrue="1">
      <formula>$C422="begin group"</formula>
    </cfRule>
    <cfRule type="expression" dxfId="456" priority="1443" stopIfTrue="1">
      <formula>OR($C422="geopoint", $C422="geoshape", $C422="geotrace")</formula>
    </cfRule>
    <cfRule type="expression" dxfId="455" priority="1444" stopIfTrue="1">
      <formula>OR($C422="username", $C422="phonenumber", $C422="start", $C422="end", $C422="deviceid", $C422="subscriberid", $C422="simserial", $C422="caseid")</formula>
    </cfRule>
    <cfRule type="expression" dxfId="454" priority="1445" stopIfTrue="1">
      <formula>$C422="comments"</formula>
    </cfRule>
    <cfRule type="expression" dxfId="453" priority="1446" stopIfTrue="1">
      <formula>OR($C422="audio", $C422="video")</formula>
    </cfRule>
    <cfRule type="expression" dxfId="452" priority="1447" stopIfTrue="1">
      <formula>OR($C422="calculate", $C422="calculate_here")</formula>
    </cfRule>
  </conditionalFormatting>
  <conditionalFormatting sqref="N422:N423 N434 N445 N482:N485">
    <cfRule type="expression" dxfId="451" priority="1448" stopIfTrue="1">
      <formula>OR($C422="audio audit", $C422="text audit", $C422="speed violations count", $C422="speed violations list", $C422="speed violations audit")</formula>
    </cfRule>
    <cfRule type="expression" dxfId="450" priority="1449" stopIfTrue="1">
      <formula>OR($C422="username", $C422="phonenumber", $C422="start", $C422="end", $C422="deviceid", $C422="subscriberid", $C422="simserial", $C422="caseid")</formula>
    </cfRule>
    <cfRule type="expression" dxfId="449" priority="1450" stopIfTrue="1">
      <formula>OR(AND(LEFT($C422, 16)="select_multiple ", LEN($C422)&gt;16, NOT(ISNUMBER(SEARCH(" ", $C422, 17)))), AND(LEFT($C422, 11)="select_one ", LEN($C422)&gt;11, NOT(ISNUMBER(SEARCH(" ", $C422, 12)))))</formula>
    </cfRule>
    <cfRule type="expression" dxfId="448" priority="1451" stopIfTrue="1">
      <formula>$C422="decimal"</formula>
    </cfRule>
    <cfRule type="expression" dxfId="447" priority="1452" stopIfTrue="1">
      <formula>$C422="integer"</formula>
    </cfRule>
    <cfRule type="expression" dxfId="446" priority="1453" stopIfTrue="1">
      <formula>$C422="text"</formula>
    </cfRule>
    <cfRule type="expression" dxfId="445" priority="1454" stopIfTrue="1">
      <formula>$C422="end repeat"</formula>
    </cfRule>
    <cfRule type="expression" dxfId="444" priority="1455" stopIfTrue="1">
      <formula>$C422="begin repeat"</formula>
    </cfRule>
  </conditionalFormatting>
  <conditionalFormatting sqref="N422:N423 N434 N445">
    <cfRule type="expression" dxfId="443" priority="1456" stopIfTrue="1">
      <formula>$C422="begin group"</formula>
    </cfRule>
    <cfRule type="expression" dxfId="442" priority="1470" stopIfTrue="1">
      <formula>$C422="end group"</formula>
    </cfRule>
  </conditionalFormatting>
  <conditionalFormatting sqref="N422:N423">
    <cfRule type="expression" dxfId="441" priority="1457" stopIfTrue="1">
      <formula>OR($C422="audio audit", $C422="text audit", $C422="speed violations count", $C422="speed violations list", $C422="speed violations audit")</formula>
    </cfRule>
    <cfRule type="expression" dxfId="440" priority="1458" stopIfTrue="1">
      <formula>OR(AND(LEFT($C422, 16)="select_multiple ", LEN($C422)&gt;16, NOT(ISNUMBER(SEARCH(" ", $C422, 17)))), AND(LEFT($C422, 11)="select_one ", LEN($C422)&gt;11, NOT(ISNUMBER(SEARCH(" ", $C422, 12)))))</formula>
    </cfRule>
    <cfRule type="expression" dxfId="439" priority="1459" stopIfTrue="1">
      <formula>$C422="comments"</formula>
    </cfRule>
    <cfRule type="expression" dxfId="438" priority="1460" stopIfTrue="1">
      <formula>OR($C422="audio", $C422="video")</formula>
    </cfRule>
    <cfRule type="expression" dxfId="437" priority="1461" stopIfTrue="1">
      <formula>OR($C422="date", $C422="datetime")</formula>
    </cfRule>
    <cfRule type="expression" dxfId="436" priority="1462" stopIfTrue="1">
      <formula>OR($C422="calculate", $C422="calculate_here")</formula>
    </cfRule>
    <cfRule type="expression" dxfId="435" priority="1463" stopIfTrue="1">
      <formula>$C422="note"</formula>
    </cfRule>
    <cfRule type="expression" dxfId="434" priority="1464" stopIfTrue="1">
      <formula>$C422="barcode"</formula>
    </cfRule>
    <cfRule type="expression" dxfId="433" priority="1465" stopIfTrue="1">
      <formula>$C422="decimal"</formula>
    </cfRule>
    <cfRule type="expression" dxfId="432" priority="1466" stopIfTrue="1">
      <formula>$C422="integer"</formula>
    </cfRule>
    <cfRule type="expression" dxfId="431" priority="1467" stopIfTrue="1">
      <formula>$C422="text"</formula>
    </cfRule>
    <cfRule type="expression" dxfId="430" priority="1468" stopIfTrue="1">
      <formula>$C422="end repeat"</formula>
    </cfRule>
    <cfRule type="expression" dxfId="429" priority="1469" stopIfTrue="1">
      <formula>$C422="begin group"</formula>
    </cfRule>
  </conditionalFormatting>
  <conditionalFormatting sqref="N434">
    <cfRule type="expression" dxfId="428" priority="1471" stopIfTrue="1">
      <formula>$C434="comments"</formula>
    </cfRule>
    <cfRule type="expression" dxfId="427" priority="1472" stopIfTrue="1">
      <formula>OR($C434="audio", $C434="video")</formula>
    </cfRule>
    <cfRule type="expression" dxfId="426" priority="1473" stopIfTrue="1">
      <formula>$C434="image"</formula>
    </cfRule>
    <cfRule type="expression" dxfId="425" priority="1474" stopIfTrue="1">
      <formula>OR($C434="date", $C434="datetime")</formula>
    </cfRule>
    <cfRule type="expression" dxfId="424" priority="1475" stopIfTrue="1">
      <formula>OR($C434="calculate", $C434="calculate_here")</formula>
    </cfRule>
    <cfRule type="expression" dxfId="423" priority="1476" stopIfTrue="1">
      <formula>$C434="note"</formula>
    </cfRule>
    <cfRule type="expression" dxfId="422" priority="1477" stopIfTrue="1">
      <formula>$C434="barcode"</formula>
    </cfRule>
    <cfRule type="expression" dxfId="421" priority="1478" stopIfTrue="1">
      <formula>OR($C434="geopoint", $C434="geoshape", $C434="geotrace")</formula>
    </cfRule>
    <cfRule type="expression" dxfId="420" priority="1479" stopIfTrue="1">
      <formula>OR($C434="audio audit", $C434="text audit", $C434="speed violations count", $C434="speed violations list", $C434="speed violations audit")</formula>
    </cfRule>
    <cfRule type="expression" dxfId="419" priority="1480" stopIfTrue="1">
      <formula>OR($C434="username", $C434="phonenumber", $C434="start", $C434="end", $C434="deviceid", $C434="subscriberid", $C434="simserial", $C434="caseid")</formula>
    </cfRule>
    <cfRule type="expression" dxfId="418" priority="1481" stopIfTrue="1">
      <formula>OR(AND(LEFT($C434, 16)="select_multiple ", LEN($C434)&gt;16, NOT(ISNUMBER(SEARCH(" ", $C434, 17)))), AND(LEFT($C434, 11)="select_one ", LEN($C434)&gt;11, NOT(ISNUMBER(SEARCH(" ", $C434, 12)))))</formula>
    </cfRule>
    <cfRule type="expression" dxfId="417" priority="1482" stopIfTrue="1">
      <formula>$C434="decimal"</formula>
    </cfRule>
    <cfRule type="expression" dxfId="416" priority="1483" stopIfTrue="1">
      <formula>$C434="integer"</formula>
    </cfRule>
    <cfRule type="expression" dxfId="415" priority="1484" stopIfTrue="1">
      <formula>$C434="text"</formula>
    </cfRule>
    <cfRule type="expression" dxfId="414" priority="1485" stopIfTrue="1">
      <formula>$C434="end repeat"</formula>
    </cfRule>
    <cfRule type="expression" dxfId="413" priority="1486" stopIfTrue="1">
      <formula>$C434="begin repeat"</formula>
    </cfRule>
    <cfRule type="expression" dxfId="412" priority="1487" stopIfTrue="1">
      <formula>$C434="end group"</formula>
    </cfRule>
    <cfRule type="expression" dxfId="411" priority="1488" stopIfTrue="1">
      <formula>$C434="begin group"</formula>
    </cfRule>
    <cfRule type="expression" dxfId="410" priority="1489" stopIfTrue="1">
      <formula>OR($C434="geopoint", $C434="geoshape", $C434="geotrace")</formula>
    </cfRule>
    <cfRule type="expression" dxfId="409" priority="1490" stopIfTrue="1">
      <formula>OR($C434="audio audit", $C434="text audit", $C434="speed violations count", $C434="speed violations list", $C434="speed violations audit")</formula>
    </cfRule>
    <cfRule type="expression" dxfId="408" priority="1491" stopIfTrue="1">
      <formula>OR($C434="username", $C434="phonenumber", $C434="start", $C434="end", $C434="deviceid", $C434="subscriberid", $C434="simserial", $C434="caseid")</formula>
    </cfRule>
    <cfRule type="expression" dxfId="407" priority="1492" stopIfTrue="1">
      <formula>OR(AND(LEFT($C434, 16)="select_multiple ", LEN($C434)&gt;16, NOT(ISNUMBER(SEARCH(" ", $C434, 17)))), AND(LEFT($C434, 11)="select_one ", LEN($C434)&gt;11, NOT(ISNUMBER(SEARCH(" ", $C434, 12)))))</formula>
    </cfRule>
    <cfRule type="expression" dxfId="406" priority="1493" stopIfTrue="1">
      <formula>$C434="decimal"</formula>
    </cfRule>
    <cfRule type="expression" dxfId="405" priority="1494" stopIfTrue="1">
      <formula>$C434="integer"</formula>
    </cfRule>
    <cfRule type="expression" dxfId="404" priority="1495" stopIfTrue="1">
      <formula>$C434="text"</formula>
    </cfRule>
    <cfRule type="expression" dxfId="403" priority="1496" stopIfTrue="1">
      <formula>$C434="end repeat"</formula>
    </cfRule>
    <cfRule type="expression" dxfId="402" priority="1497" stopIfTrue="1">
      <formula>$C434="begin repeat"</formula>
    </cfRule>
    <cfRule type="expression" dxfId="401" priority="1498" stopIfTrue="1">
      <formula>$C434="end group"</formula>
    </cfRule>
    <cfRule type="expression" dxfId="400" priority="1499" stopIfTrue="1">
      <formula>$C434="begin group"</formula>
    </cfRule>
    <cfRule type="expression" dxfId="399" priority="1500" stopIfTrue="1">
      <formula>$C434="comments"</formula>
    </cfRule>
    <cfRule type="expression" dxfId="398" priority="1501" stopIfTrue="1">
      <formula>OR($C434="audio", $C434="video")</formula>
    </cfRule>
    <cfRule type="expression" dxfId="397" priority="1502" stopIfTrue="1">
      <formula>$C434="image"</formula>
    </cfRule>
    <cfRule type="expression" dxfId="396" priority="1503" stopIfTrue="1">
      <formula>OR($C434="calculate", $C434="calculate_here")</formula>
    </cfRule>
    <cfRule type="expression" dxfId="395" priority="1504" stopIfTrue="1">
      <formula>$C434="note"</formula>
    </cfRule>
    <cfRule type="expression" dxfId="394" priority="1505" stopIfTrue="1">
      <formula>$C434="barcode"</formula>
    </cfRule>
    <cfRule type="expression" dxfId="393" priority="1506" stopIfTrue="1">
      <formula>$C434="comments"</formula>
    </cfRule>
    <cfRule type="expression" dxfId="392" priority="1507" stopIfTrue="1">
      <formula>OR($C434="audio", $C434="video")</formula>
    </cfRule>
    <cfRule type="expression" dxfId="391" priority="1508" stopIfTrue="1">
      <formula>$C434="image"</formula>
    </cfRule>
    <cfRule type="expression" dxfId="390" priority="1509" stopIfTrue="1">
      <formula>OR($C434="date", $C434="datetime")</formula>
    </cfRule>
    <cfRule type="expression" dxfId="389" priority="1510" stopIfTrue="1">
      <formula>OR($C434="calculate", $C434="calculate_here")</formula>
    </cfRule>
    <cfRule type="expression" dxfId="388" priority="1511" stopIfTrue="1">
      <formula>$C434="note"</formula>
    </cfRule>
    <cfRule type="expression" dxfId="387" priority="1512" stopIfTrue="1">
      <formula>$C434="barcode"</formula>
    </cfRule>
  </conditionalFormatting>
  <conditionalFormatting sqref="N445">
    <cfRule type="expression" dxfId="386" priority="1513" stopIfTrue="1">
      <formula>$C445="comments"</formula>
    </cfRule>
    <cfRule type="expression" dxfId="385" priority="1514" stopIfTrue="1">
      <formula>OR($C445="audio", $C445="video")</formula>
    </cfRule>
    <cfRule type="expression" dxfId="384" priority="1515" stopIfTrue="1">
      <formula>$C445="image"</formula>
    </cfRule>
    <cfRule type="expression" dxfId="383" priority="1516" stopIfTrue="1">
      <formula>OR($C445="date", $C445="datetime")</formula>
    </cfRule>
    <cfRule type="expression" dxfId="382" priority="1517" stopIfTrue="1">
      <formula>OR($C445="calculate", $C445="calculate_here")</formula>
    </cfRule>
    <cfRule type="expression" dxfId="381" priority="1518" stopIfTrue="1">
      <formula>$C445="note"</formula>
    </cfRule>
    <cfRule type="expression" dxfId="380" priority="1519" stopIfTrue="1">
      <formula>$C445="barcode"</formula>
    </cfRule>
    <cfRule type="expression" dxfId="379" priority="1520" stopIfTrue="1">
      <formula>OR($C445="geopoint", $C445="geoshape", $C445="geotrace")</formula>
    </cfRule>
    <cfRule type="expression" dxfId="378" priority="1521" stopIfTrue="1">
      <formula>OR($C445="audio audit", $C445="text audit", $C445="speed violations count", $C445="speed violations list", $C445="speed violations audit")</formula>
    </cfRule>
    <cfRule type="expression" dxfId="377" priority="1522" stopIfTrue="1">
      <formula>OR($C445="username", $C445="phonenumber", $C445="start", $C445="end", $C445="deviceid", $C445="subscriberid", $C445="simserial", $C445="caseid")</formula>
    </cfRule>
    <cfRule type="expression" dxfId="376" priority="1523" stopIfTrue="1">
      <formula>OR(AND(LEFT($C445, 16)="select_multiple ", LEN($C445)&gt;16, NOT(ISNUMBER(SEARCH(" ", $C445, 17)))), AND(LEFT($C445, 11)="select_one ", LEN($C445)&gt;11, NOT(ISNUMBER(SEARCH(" ", $C445, 12)))))</formula>
    </cfRule>
    <cfRule type="expression" dxfId="375" priority="1524" stopIfTrue="1">
      <formula>$C445="decimal"</formula>
    </cfRule>
    <cfRule type="expression" dxfId="374" priority="1525" stopIfTrue="1">
      <formula>$C445="integer"</formula>
    </cfRule>
    <cfRule type="expression" dxfId="373" priority="1526" stopIfTrue="1">
      <formula>$C445="text"</formula>
    </cfRule>
    <cfRule type="expression" dxfId="372" priority="1527" stopIfTrue="1">
      <formula>$C445="end repeat"</formula>
    </cfRule>
    <cfRule type="expression" dxfId="371" priority="1528" stopIfTrue="1">
      <formula>$C445="begin repeat"</formula>
    </cfRule>
    <cfRule type="expression" dxfId="370" priority="1529" stopIfTrue="1">
      <formula>$C445="end group"</formula>
    </cfRule>
    <cfRule type="expression" dxfId="369" priority="1530" stopIfTrue="1">
      <formula>$C445="begin group"</formula>
    </cfRule>
    <cfRule type="expression" dxfId="368" priority="1531" stopIfTrue="1">
      <formula>OR($C445="geopoint", $C445="geoshape", $C445="geotrace")</formula>
    </cfRule>
    <cfRule type="expression" dxfId="367" priority="1532" stopIfTrue="1">
      <formula>OR($C445="audio audit", $C445="text audit", $C445="speed violations count", $C445="speed violations list", $C445="speed violations audit")</formula>
    </cfRule>
    <cfRule type="expression" dxfId="366" priority="1533" stopIfTrue="1">
      <formula>OR($C445="username", $C445="phonenumber", $C445="start", $C445="end", $C445="deviceid", $C445="subscriberid", $C445="simserial", $C445="caseid")</formula>
    </cfRule>
    <cfRule type="expression" dxfId="365" priority="1534" stopIfTrue="1">
      <formula>OR(AND(LEFT($C445, 16)="select_multiple ", LEN($C445)&gt;16, NOT(ISNUMBER(SEARCH(" ", $C445, 17)))), AND(LEFT($C445, 11)="select_one ", LEN($C445)&gt;11, NOT(ISNUMBER(SEARCH(" ", $C445, 12)))))</formula>
    </cfRule>
    <cfRule type="expression" dxfId="364" priority="1535" stopIfTrue="1">
      <formula>$C445="decimal"</formula>
    </cfRule>
    <cfRule type="expression" dxfId="363" priority="1536" stopIfTrue="1">
      <formula>$C445="integer"</formula>
    </cfRule>
    <cfRule type="expression" dxfId="362" priority="1537" stopIfTrue="1">
      <formula>$C445="text"</formula>
    </cfRule>
    <cfRule type="expression" dxfId="361" priority="1538" stopIfTrue="1">
      <formula>$C445="end repeat"</formula>
    </cfRule>
    <cfRule type="expression" dxfId="360" priority="1539" stopIfTrue="1">
      <formula>$C445="begin repeat"</formula>
    </cfRule>
    <cfRule type="expression" dxfId="359" priority="1540" stopIfTrue="1">
      <formula>$C445="end group"</formula>
    </cfRule>
    <cfRule type="expression" dxfId="358" priority="1541" stopIfTrue="1">
      <formula>$C445="begin group"</formula>
    </cfRule>
    <cfRule type="expression" dxfId="357" priority="1542" stopIfTrue="1">
      <formula>$C445="comments"</formula>
    </cfRule>
    <cfRule type="expression" dxfId="356" priority="1543" stopIfTrue="1">
      <formula>OR($C445="audio", $C445="video")</formula>
    </cfRule>
    <cfRule type="expression" dxfId="355" priority="1544" stopIfTrue="1">
      <formula>$C445="image"</formula>
    </cfRule>
    <cfRule type="expression" dxfId="354" priority="1545" stopIfTrue="1">
      <formula>OR($C445="date", $C445="datetime")</formula>
    </cfRule>
    <cfRule type="expression" dxfId="353" priority="1546" stopIfTrue="1">
      <formula>OR($C445="calculate", $C445="calculate_here")</formula>
    </cfRule>
    <cfRule type="expression" dxfId="352" priority="1547" stopIfTrue="1">
      <formula>$C445="note"</formula>
    </cfRule>
    <cfRule type="expression" dxfId="351" priority="1548" stopIfTrue="1">
      <formula>$C445="barcode"</formula>
    </cfRule>
    <cfRule type="expression" dxfId="350" priority="1549" stopIfTrue="1">
      <formula>$C445="comments"</formula>
    </cfRule>
    <cfRule type="expression" dxfId="349" priority="1550" stopIfTrue="1">
      <formula>OR($C445="audio", $C445="video")</formula>
    </cfRule>
    <cfRule type="expression" dxfId="348" priority="1551" stopIfTrue="1">
      <formula>$C445="image"</formula>
    </cfRule>
    <cfRule type="expression" dxfId="347" priority="1552" stopIfTrue="1">
      <formula>OR($C445="date", $C445="datetime")</formula>
    </cfRule>
    <cfRule type="expression" dxfId="346" priority="1553" stopIfTrue="1">
      <formula>OR($C445="calculate", $C445="calculate_here")</formula>
    </cfRule>
    <cfRule type="expression" dxfId="345" priority="1554" stopIfTrue="1">
      <formula>$C445="note"</formula>
    </cfRule>
    <cfRule type="expression" dxfId="344" priority="1555" stopIfTrue="1">
      <formula>$C445="barcode"</formula>
    </cfRule>
  </conditionalFormatting>
  <conditionalFormatting sqref="N481">
    <cfRule type="expression" dxfId="343" priority="1556" stopIfTrue="1">
      <formula>OR($C481="geopoint", $C481="geoshape", $C481="geotrace")</formula>
    </cfRule>
    <cfRule type="expression" dxfId="342" priority="1557" stopIfTrue="1">
      <formula>OR($C481="audio audit", $C481="text audit", $C481="speed violations count", $C481="speed violations list", $C481="speed violations audit")</formula>
    </cfRule>
    <cfRule type="expression" dxfId="341" priority="1558" stopIfTrue="1">
      <formula>OR($C481="username", $C481="phonenumber", $C481="start", $C481="end", $C481="deviceid", $C481="subscriberid", $C481="simserial", $C481="caseid")</formula>
    </cfRule>
    <cfRule type="expression" dxfId="340" priority="1559" stopIfTrue="1">
      <formula>OR(AND(LEFT($C481, 16)="select_multiple ", LEN($C481)&gt;16, NOT(ISNUMBER(SEARCH(" ", $C481, 17)))), AND(LEFT($C481, 11)="select_one ", LEN($C481)&gt;11, NOT(ISNUMBER(SEARCH(" ", $C481, 12)))))</formula>
    </cfRule>
    <cfRule type="expression" dxfId="339" priority="1560" stopIfTrue="1">
      <formula>$C481="decimal"</formula>
    </cfRule>
    <cfRule type="expression" dxfId="338" priority="1561" stopIfTrue="1">
      <formula>$C481="integer"</formula>
    </cfRule>
    <cfRule type="expression" dxfId="337" priority="1562" stopIfTrue="1">
      <formula>$C481="text"</formula>
    </cfRule>
    <cfRule type="expression" dxfId="336" priority="1563" stopIfTrue="1">
      <formula>$C481="end repeat"</formula>
    </cfRule>
    <cfRule type="expression" dxfId="335" priority="1564" stopIfTrue="1">
      <formula>$C481="begin repeat"</formula>
    </cfRule>
    <cfRule type="expression" dxfId="334" priority="1565" stopIfTrue="1">
      <formula>$C481="end group"</formula>
    </cfRule>
    <cfRule type="expression" dxfId="333" priority="1566" stopIfTrue="1">
      <formula>$C481="begin group"</formula>
    </cfRule>
    <cfRule type="expression" dxfId="332" priority="1567" stopIfTrue="1">
      <formula>$C481="comments"</formula>
    </cfRule>
    <cfRule type="expression" dxfId="331" priority="1568" stopIfTrue="1">
      <formula>OR($C481="audio", $C481="video")</formula>
    </cfRule>
    <cfRule type="expression" dxfId="330" priority="1569" stopIfTrue="1">
      <formula>$C481="image"</formula>
    </cfRule>
    <cfRule type="expression" dxfId="329" priority="1570" stopIfTrue="1">
      <formula>OR($C481="date", $C481="datetime")</formula>
    </cfRule>
    <cfRule type="expression" dxfId="328" priority="1571" stopIfTrue="1">
      <formula>OR($C481="calculate", $C481="calculate_here")</formula>
    </cfRule>
    <cfRule type="expression" dxfId="327" priority="1572" stopIfTrue="1">
      <formula>$C481="note"</formula>
    </cfRule>
    <cfRule type="expression" dxfId="326" priority="1573" stopIfTrue="1">
      <formula>$C481="barcode"</formula>
    </cfRule>
    <cfRule type="expression" dxfId="325" priority="1574" stopIfTrue="1">
      <formula>$C481="comments"</formula>
    </cfRule>
    <cfRule type="expression" dxfId="324" priority="1575" stopIfTrue="1">
      <formula>OR($C481="audio", $C481="video")</formula>
    </cfRule>
    <cfRule type="expression" dxfId="323" priority="1576" stopIfTrue="1">
      <formula>$C481="image"</formula>
    </cfRule>
    <cfRule type="expression" dxfId="322" priority="1577" stopIfTrue="1">
      <formula>OR($C481="date", $C481="datetime")</formula>
    </cfRule>
    <cfRule type="expression" dxfId="321" priority="1578" stopIfTrue="1">
      <formula>OR($C481="calculate", $C481="calculate_here")</formula>
    </cfRule>
    <cfRule type="expression" dxfId="320" priority="1579" stopIfTrue="1">
      <formula>$C481="note"</formula>
    </cfRule>
    <cfRule type="expression" dxfId="319" priority="1580" stopIfTrue="1">
      <formula>$C481="barcode"</formula>
    </cfRule>
  </conditionalFormatting>
  <conditionalFormatting sqref="N481:N485">
    <cfRule type="expression" dxfId="318" priority="1581" stopIfTrue="1">
      <formula>OR($C481="geopoint", $C481="geoshape", $C481="geotrace")</formula>
    </cfRule>
    <cfRule type="expression" dxfId="317" priority="1582" stopIfTrue="1">
      <formula>OR($C481="audio audit", $C481="text audit", $C481="speed violations count", $C481="speed violations list", $C481="speed violations audit")</formula>
    </cfRule>
    <cfRule type="expression" dxfId="316" priority="1583" stopIfTrue="1">
      <formula>OR($C481="username", $C481="phonenumber", $C481="start", $C481="end", $C481="deviceid", $C481="subscriberid", $C481="simserial", $C481="caseid")</formula>
    </cfRule>
    <cfRule type="expression" dxfId="315" priority="1584" stopIfTrue="1">
      <formula>OR(AND(LEFT($C481, 16)="select_multiple ", LEN($C481)&gt;16, NOT(ISNUMBER(SEARCH(" ", $C481, 17)))), AND(LEFT($C481, 11)="select_one ", LEN($C481)&gt;11, NOT(ISNUMBER(SEARCH(" ", $C481, 12)))))</formula>
    </cfRule>
    <cfRule type="expression" dxfId="314" priority="1585" stopIfTrue="1">
      <formula>$C481="decimal"</formula>
    </cfRule>
    <cfRule type="expression" dxfId="313" priority="1586" stopIfTrue="1">
      <formula>$C481="integer"</formula>
    </cfRule>
    <cfRule type="expression" dxfId="312" priority="1587" stopIfTrue="1">
      <formula>$C481="text"</formula>
    </cfRule>
    <cfRule type="expression" dxfId="311" priority="1588" stopIfTrue="1">
      <formula>$C481="end repeat"</formula>
    </cfRule>
    <cfRule type="expression" dxfId="310" priority="1589" stopIfTrue="1">
      <formula>$C481="begin repeat"</formula>
    </cfRule>
    <cfRule type="expression" dxfId="309" priority="1590" stopIfTrue="1">
      <formula>$C481="end group"</formula>
    </cfRule>
    <cfRule type="expression" dxfId="308" priority="1591" stopIfTrue="1">
      <formula>$C481="begin group"</formula>
    </cfRule>
  </conditionalFormatting>
  <conditionalFormatting sqref="N482:N485 J210:K215">
    <cfRule type="expression" dxfId="307" priority="1592" stopIfTrue="1">
      <formula>OR($C210="date", $C210="datetime")</formula>
    </cfRule>
  </conditionalFormatting>
  <conditionalFormatting sqref="N482:N485">
    <cfRule type="expression" dxfId="306" priority="1594" stopIfTrue="1">
      <formula>$C482="comments"</formula>
    </cfRule>
    <cfRule type="expression" dxfId="305" priority="1595" stopIfTrue="1">
      <formula>OR($C482="audio", $C482="video")</formula>
    </cfRule>
    <cfRule type="expression" dxfId="304" priority="1596" stopIfTrue="1">
      <formula>$C482="image"</formula>
    </cfRule>
    <cfRule type="expression" dxfId="303" priority="1597" stopIfTrue="1">
      <formula>OR($C482="date", $C482="datetime")</formula>
    </cfRule>
    <cfRule type="expression" dxfId="302" priority="1598" stopIfTrue="1">
      <formula>OR($C482="calculate", $C482="calculate_here")</formula>
    </cfRule>
    <cfRule type="expression" dxfId="301" priority="1599" stopIfTrue="1">
      <formula>$C482="note"</formula>
    </cfRule>
    <cfRule type="expression" dxfId="300" priority="1600" stopIfTrue="1">
      <formula>$C482="barcode"</formula>
    </cfRule>
    <cfRule type="expression" dxfId="299" priority="1601" stopIfTrue="1">
      <formula>$C482="comments"</formula>
    </cfRule>
    <cfRule type="expression" dxfId="298" priority="1602" stopIfTrue="1">
      <formula>OR($C482="audio", $C482="video")</formula>
    </cfRule>
    <cfRule type="expression" dxfId="297" priority="1603" stopIfTrue="1">
      <formula>$C482="image"</formula>
    </cfRule>
    <cfRule type="expression" dxfId="296" priority="1604" stopIfTrue="1">
      <formula>$C482="note"</formula>
    </cfRule>
  </conditionalFormatting>
  <conditionalFormatting sqref="N498 N500 N504 N506 N512:N514 N579 N584:N585 N591:N592 N618 N620 N622">
    <cfRule type="expression" dxfId="295" priority="1606" stopIfTrue="1">
      <formula>OR($C498="username", $C498="phonenumber", $C498="start", $C498="end", $C498="deviceid", $C498="subscriberid", $C498="simserial", $C498="caseid")</formula>
    </cfRule>
    <cfRule type="expression" dxfId="294" priority="1607" stopIfTrue="1">
      <formula>OR(AND(LEFT($C498, 16)="select_multiple ", LEN($C498)&gt;16, NOT(ISNUMBER(SEARCH(" ", $C498, 17)))), AND(LEFT($C498, 11)="select_one ", LEN($C498)&gt;11, NOT(ISNUMBER(SEARCH(" ", $C498, 12)))))</formula>
    </cfRule>
    <cfRule type="expression" dxfId="293" priority="1608" stopIfTrue="1">
      <formula>$C498="decimal"</formula>
    </cfRule>
    <cfRule type="expression" dxfId="292" priority="1609" stopIfTrue="1">
      <formula>$C498="integer"</formula>
    </cfRule>
    <cfRule type="expression" dxfId="291" priority="1610" stopIfTrue="1">
      <formula>$C498="text"</formula>
    </cfRule>
    <cfRule type="expression" dxfId="290" priority="1611" stopIfTrue="1">
      <formula>$C498="end repeat"</formula>
    </cfRule>
    <cfRule type="expression" dxfId="289" priority="1612" stopIfTrue="1">
      <formula>$C498="begin repeat"</formula>
    </cfRule>
    <cfRule type="expression" dxfId="288" priority="1613" stopIfTrue="1">
      <formula>$C498="end group"</formula>
    </cfRule>
    <cfRule type="expression" dxfId="287" priority="1614" stopIfTrue="1">
      <formula>$C498="begin group"</formula>
    </cfRule>
    <cfRule type="expression" dxfId="286" priority="1615" stopIfTrue="1">
      <formula>OR($C498="geopoint", $C498="geoshape", $C498="geotrace")</formula>
    </cfRule>
  </conditionalFormatting>
  <conditionalFormatting sqref="N498 N500 N504 N506 N512:N514">
    <cfRule type="expression" dxfId="285" priority="1616" stopIfTrue="1">
      <formula>$C498="barcode"</formula>
    </cfRule>
  </conditionalFormatting>
  <conditionalFormatting sqref="N498 N500 N579 N591:N592 N584:N585 N504 N506 N512:N514 N618 N620 N622">
    <cfRule type="expression" dxfId="284" priority="1605" stopIfTrue="1">
      <formula>OR($C498="audio audit", $C498="text audit", $C498="speed violations count", $C498="speed violations list", $C498="speed violations audit")</formula>
    </cfRule>
  </conditionalFormatting>
  <conditionalFormatting sqref="N579 N584:N585 N591:N592">
    <cfRule type="expression" dxfId="283" priority="1617" stopIfTrue="1">
      <formula>OR($C579="audio audit", $C579="text audit", $C579="speed violations count", $C579="speed violations list", $C579="speed violations audit")</formula>
    </cfRule>
    <cfRule type="expression" dxfId="282" priority="1618" stopIfTrue="1">
      <formula>OR($C579="username", $C579="phonenumber", $C579="start", $C579="end", $C579="deviceid", $C579="subscriberid", $C579="simserial", $C579="caseid")</formula>
    </cfRule>
    <cfRule type="expression" dxfId="281" priority="1619" stopIfTrue="1">
      <formula>OR(AND(LEFT($C579, 16)="select_multiple ", LEN($C579)&gt;16, NOT(ISNUMBER(SEARCH(" ", $C579, 17)))), AND(LEFT($C579, 11)="select_one ", LEN($C579)&gt;11, NOT(ISNUMBER(SEARCH(" ", $C579, 12)))))</formula>
    </cfRule>
    <cfRule type="expression" dxfId="280" priority="1620" stopIfTrue="1">
      <formula>$C579="decimal"</formula>
    </cfRule>
    <cfRule type="expression" dxfId="279" priority="1621" stopIfTrue="1">
      <formula>$C579="integer"</formula>
    </cfRule>
    <cfRule type="expression" dxfId="278" priority="1622" stopIfTrue="1">
      <formula>$C579="text"</formula>
    </cfRule>
    <cfRule type="expression" dxfId="277" priority="1623" stopIfTrue="1">
      <formula>$C579="end repeat"</formula>
    </cfRule>
    <cfRule type="expression" dxfId="276" priority="1624" stopIfTrue="1">
      <formula>$C579="begin repeat"</formula>
    </cfRule>
    <cfRule type="expression" dxfId="275" priority="1625" stopIfTrue="1">
      <formula>$C579="end group"</formula>
    </cfRule>
    <cfRule type="expression" dxfId="274" priority="1626" stopIfTrue="1">
      <formula>$C579="begin group"</formula>
    </cfRule>
    <cfRule type="expression" dxfId="273" priority="1627" stopIfTrue="1">
      <formula>$C579="comments"</formula>
    </cfRule>
    <cfRule type="expression" dxfId="272" priority="1628" stopIfTrue="1">
      <formula>OR($C579="audio", $C579="video")</formula>
    </cfRule>
    <cfRule type="expression" dxfId="271" priority="1629" stopIfTrue="1">
      <formula>$C579="image"</formula>
    </cfRule>
    <cfRule type="expression" dxfId="270" priority="1630" stopIfTrue="1">
      <formula>OR($C579="date", $C579="datetime")</formula>
    </cfRule>
    <cfRule type="expression" dxfId="269" priority="1631" stopIfTrue="1">
      <formula>OR($C579="calculate", $C579="calculate_here")</formula>
    </cfRule>
    <cfRule type="expression" dxfId="268" priority="1632" stopIfTrue="1">
      <formula>$C579="note"</formula>
    </cfRule>
    <cfRule type="expression" dxfId="267" priority="1633" stopIfTrue="1">
      <formula>$C579="barcode"</formula>
    </cfRule>
    <cfRule type="expression" dxfId="266" priority="1634" stopIfTrue="1">
      <formula>OR($C579="geopoint", $C579="geoshape", $C579="geotrace")</formula>
    </cfRule>
    <cfRule type="expression" dxfId="265" priority="1635" stopIfTrue="1">
      <formula>OR($C579="audio audit", $C579="text audit", $C579="speed violations count", $C579="speed violations list", $C579="speed violations audit")</formula>
    </cfRule>
    <cfRule type="expression" dxfId="264" priority="1636" stopIfTrue="1">
      <formula>OR($C579="username", $C579="phonenumber", $C579="start", $C579="end", $C579="deviceid", $C579="subscriberid", $C579="simserial", $C579="caseid")</formula>
    </cfRule>
    <cfRule type="expression" dxfId="263" priority="1637" stopIfTrue="1">
      <formula>OR(AND(LEFT($C579, 16)="select_multiple ", LEN($C579)&gt;16, NOT(ISNUMBER(SEARCH(" ", $C579, 17)))), AND(LEFT($C579, 11)="select_one ", LEN($C579)&gt;11, NOT(ISNUMBER(SEARCH(" ", $C579, 12)))))</formula>
    </cfRule>
    <cfRule type="expression" dxfId="262" priority="1638" stopIfTrue="1">
      <formula>$C579="decimal"</formula>
    </cfRule>
    <cfRule type="expression" dxfId="261" priority="1639" stopIfTrue="1">
      <formula>$C579="integer"</formula>
    </cfRule>
    <cfRule type="expression" dxfId="260" priority="1640" stopIfTrue="1">
      <formula>$C579="text"</formula>
    </cfRule>
    <cfRule type="expression" dxfId="259" priority="1641" stopIfTrue="1">
      <formula>$C579="end repeat"</formula>
    </cfRule>
    <cfRule type="expression" dxfId="258" priority="1642" stopIfTrue="1">
      <formula>$C579="begin repeat"</formula>
    </cfRule>
    <cfRule type="expression" dxfId="257" priority="1643" stopIfTrue="1">
      <formula>$C579="end group"</formula>
    </cfRule>
    <cfRule type="expression" dxfId="256" priority="1644" stopIfTrue="1">
      <formula>$C579="begin group"</formula>
    </cfRule>
    <cfRule type="expression" dxfId="255" priority="1645" stopIfTrue="1">
      <formula>$C579="comments"</formula>
    </cfRule>
    <cfRule type="expression" dxfId="254" priority="1646" stopIfTrue="1">
      <formula>OR($C579="audio", $C579="video")</formula>
    </cfRule>
    <cfRule type="expression" dxfId="253" priority="1647" stopIfTrue="1">
      <formula>$C579="image"</formula>
    </cfRule>
    <cfRule type="expression" dxfId="252" priority="1649" stopIfTrue="1">
      <formula>OR($C579="calculate", $C579="calculate_here")</formula>
    </cfRule>
    <cfRule type="expression" dxfId="251" priority="1650" stopIfTrue="1">
      <formula>$C579="note"</formula>
    </cfRule>
    <cfRule type="expression" dxfId="250" priority="1651" stopIfTrue="1">
      <formula>$C579="barcode"</formula>
    </cfRule>
    <cfRule type="expression" dxfId="249" priority="1652" stopIfTrue="1">
      <formula>OR($C579="geopoint", $C579="geoshape", $C579="geotrace")</formula>
    </cfRule>
  </conditionalFormatting>
  <conditionalFormatting sqref="N579 N584:O585 N591:O592">
    <cfRule type="expression" dxfId="248" priority="1648" stopIfTrue="1">
      <formula>OR($C579="date", $C579="datetime")</formula>
    </cfRule>
  </conditionalFormatting>
  <conditionalFormatting sqref="N597:N598">
    <cfRule type="expression" dxfId="247" priority="1653" stopIfTrue="1">
      <formula>$C597="comments"</formula>
    </cfRule>
    <cfRule type="expression" dxfId="246" priority="1654" stopIfTrue="1">
      <formula>OR($C597="audio", $C597="video")</formula>
    </cfRule>
    <cfRule type="expression" dxfId="245" priority="1655" stopIfTrue="1">
      <formula>$C597="image"</formula>
    </cfRule>
    <cfRule type="expression" dxfId="244" priority="1656" stopIfTrue="1">
      <formula>OR($C597="date", $C597="datetime")</formula>
    </cfRule>
    <cfRule type="expression" dxfId="243" priority="1657" stopIfTrue="1">
      <formula>OR($C597="calculate", $C597="calculate_here")</formula>
    </cfRule>
    <cfRule type="expression" dxfId="242" priority="1658" stopIfTrue="1">
      <formula>$C597="note"</formula>
    </cfRule>
    <cfRule type="expression" dxfId="241" priority="1659" stopIfTrue="1">
      <formula>$C597="barcode"</formula>
    </cfRule>
    <cfRule type="expression" dxfId="240" priority="1660" stopIfTrue="1">
      <formula>OR($C597="geopoint", $C597="geoshape", $C597="geotrace")</formula>
    </cfRule>
    <cfRule type="expression" dxfId="239" priority="1661" stopIfTrue="1">
      <formula>OR($C597="audio audit", $C597="text audit", $C597="speed violations count", $C597="speed violations list", $C597="speed violations audit")</formula>
    </cfRule>
    <cfRule type="expression" dxfId="238" priority="1662" stopIfTrue="1">
      <formula>OR($C597="username", $C597="phonenumber", $C597="start", $C597="end", $C597="deviceid", $C597="subscriberid", $C597="simserial", $C597="caseid")</formula>
    </cfRule>
    <cfRule type="expression" dxfId="237" priority="1663" stopIfTrue="1">
      <formula>OR(AND(LEFT($C597, 16)="select_multiple ", LEN($C597)&gt;16, NOT(ISNUMBER(SEARCH(" ", $C597, 17)))), AND(LEFT($C597, 11)="select_one ", LEN($C597)&gt;11, NOT(ISNUMBER(SEARCH(" ", $C597, 12)))))</formula>
    </cfRule>
    <cfRule type="expression" dxfId="236" priority="1664" stopIfTrue="1">
      <formula>$C597="decimal"</formula>
    </cfRule>
    <cfRule type="expression" dxfId="235" priority="1665" stopIfTrue="1">
      <formula>$C597="integer"</formula>
    </cfRule>
    <cfRule type="expression" dxfId="234" priority="1666" stopIfTrue="1">
      <formula>$C597="text"</formula>
    </cfRule>
    <cfRule type="expression" dxfId="233" priority="1667" stopIfTrue="1">
      <formula>$C597="end repeat"</formula>
    </cfRule>
    <cfRule type="expression" dxfId="232" priority="1668" stopIfTrue="1">
      <formula>$C597="begin repeat"</formula>
    </cfRule>
    <cfRule type="expression" dxfId="231" priority="1669" stopIfTrue="1">
      <formula>$C597="end group"</formula>
    </cfRule>
    <cfRule type="expression" dxfId="230" priority="1670" stopIfTrue="1">
      <formula>$C597="begin group"</formula>
    </cfRule>
    <cfRule type="expression" dxfId="229" priority="1671" stopIfTrue="1">
      <formula>$C597="begin repeat"</formula>
    </cfRule>
    <cfRule type="expression" dxfId="228" priority="1672" stopIfTrue="1">
      <formula>$C597="end group"</formula>
    </cfRule>
    <cfRule type="expression" dxfId="227" priority="1673" stopIfTrue="1">
      <formula>$C597="begin group"</formula>
    </cfRule>
    <cfRule type="expression" dxfId="226" priority="1674" stopIfTrue="1">
      <formula>$C597="comments"</formula>
    </cfRule>
    <cfRule type="expression" dxfId="225" priority="1675" stopIfTrue="1">
      <formula>OR($C597="audio", $C597="video")</formula>
    </cfRule>
    <cfRule type="expression" dxfId="224" priority="1676" stopIfTrue="1">
      <formula>$C597="image"</formula>
    </cfRule>
    <cfRule type="expression" dxfId="223" priority="1677" stopIfTrue="1">
      <formula>OR($C597="date", $C597="datetime")</formula>
    </cfRule>
    <cfRule type="expression" dxfId="222" priority="1678" stopIfTrue="1">
      <formula>OR($C597="calculate", $C597="calculate_here")</formula>
    </cfRule>
    <cfRule type="expression" dxfId="221" priority="1679" stopIfTrue="1">
      <formula>$C597="note"</formula>
    </cfRule>
    <cfRule type="expression" dxfId="220" priority="1680" stopIfTrue="1">
      <formula>$C597="barcode"</formula>
    </cfRule>
  </conditionalFormatting>
  <conditionalFormatting sqref="N618 N620 N622">
    <cfRule type="expression" dxfId="219" priority="1682" stopIfTrue="1">
      <formula>OR($C618="audio audit", $C618="text audit", $C618="speed violations count", $C618="speed violations list", $C618="speed violations audit")</formula>
    </cfRule>
    <cfRule type="expression" dxfId="218" priority="1683" stopIfTrue="1">
      <formula>OR($C618="username", $C618="phonenumber", $C618="start", $C618="end", $C618="deviceid", $C618="subscriberid", $C618="simserial", $C618="caseid")</formula>
    </cfRule>
    <cfRule type="expression" dxfId="217" priority="1684" stopIfTrue="1">
      <formula>OR(AND(LEFT($C618, 16)="select_multiple ", LEN($C618)&gt;16, NOT(ISNUMBER(SEARCH(" ", $C618, 17)))), AND(LEFT($C618, 11)="select_one ", LEN($C618)&gt;11, NOT(ISNUMBER(SEARCH(" ", $C618, 12)))))</formula>
    </cfRule>
    <cfRule type="expression" dxfId="216" priority="1685" stopIfTrue="1">
      <formula>$C618="decimal"</formula>
    </cfRule>
    <cfRule type="expression" dxfId="215" priority="1686" stopIfTrue="1">
      <formula>$C618="integer"</formula>
    </cfRule>
    <cfRule type="expression" dxfId="214" priority="1687" stopIfTrue="1">
      <formula>$C618="text"</formula>
    </cfRule>
    <cfRule type="expression" dxfId="213" priority="1688" stopIfTrue="1">
      <formula>$C618="end repeat"</formula>
    </cfRule>
    <cfRule type="expression" dxfId="212" priority="1689" stopIfTrue="1">
      <formula>$C618="begin repeat"</formula>
    </cfRule>
    <cfRule type="expression" dxfId="211" priority="1690" stopIfTrue="1">
      <formula>$C618="end group"</formula>
    </cfRule>
    <cfRule type="expression" dxfId="210" priority="1691" stopIfTrue="1">
      <formula>$C618="begin group"</formula>
    </cfRule>
    <cfRule type="expression" dxfId="209" priority="1692" stopIfTrue="1">
      <formula>$C618="comments"</formula>
    </cfRule>
    <cfRule type="expression" dxfId="208" priority="1693" stopIfTrue="1">
      <formula>OR($C618="audio", $C618="video")</formula>
    </cfRule>
    <cfRule type="expression" dxfId="207" priority="1694" stopIfTrue="1">
      <formula>$C618="image"</formula>
    </cfRule>
    <cfRule type="expression" dxfId="206" priority="1695" stopIfTrue="1">
      <formula>OR($C618="date", $C618="datetime")</formula>
    </cfRule>
    <cfRule type="expression" dxfId="205" priority="1696" stopIfTrue="1">
      <formula>OR($C618="calculate", $C618="calculate_here")</formula>
    </cfRule>
    <cfRule type="expression" dxfId="204" priority="1697" stopIfTrue="1">
      <formula>$C618="note"</formula>
    </cfRule>
    <cfRule type="expression" dxfId="203" priority="1698" stopIfTrue="1">
      <formula>$C618="barcode"</formula>
    </cfRule>
    <cfRule type="expression" dxfId="202" priority="1699" stopIfTrue="1">
      <formula>OR($C618="geopoint", $C618="geoshape", $C618="geotrace")</formula>
    </cfRule>
    <cfRule type="expression" dxfId="201" priority="1700" stopIfTrue="1">
      <formula>OR($C618="audio audit", $C618="text audit", $C618="speed violations count", $C618="speed violations list", $C618="speed violations audit")</formula>
    </cfRule>
    <cfRule type="expression" dxfId="200" priority="1701" stopIfTrue="1">
      <formula>OR($C618="username", $C618="phonenumber", $C618="start", $C618="end", $C618="deviceid", $C618="subscriberid", $C618="simserial", $C618="caseid")</formula>
    </cfRule>
    <cfRule type="expression" dxfId="199" priority="1702" stopIfTrue="1">
      <formula>OR(AND(LEFT($C618, 16)="select_multiple ", LEN($C618)&gt;16, NOT(ISNUMBER(SEARCH(" ", $C618, 17)))), AND(LEFT($C618, 11)="select_one ", LEN($C618)&gt;11, NOT(ISNUMBER(SEARCH(" ", $C618, 12)))))</formula>
    </cfRule>
    <cfRule type="expression" dxfId="198" priority="1703" stopIfTrue="1">
      <formula>$C618="decimal"</formula>
    </cfRule>
    <cfRule type="expression" dxfId="197" priority="1704" stopIfTrue="1">
      <formula>$C618="integer"</formula>
    </cfRule>
    <cfRule type="expression" dxfId="196" priority="1705" stopIfTrue="1">
      <formula>$C618="text"</formula>
    </cfRule>
    <cfRule type="expression" dxfId="195" priority="1706" stopIfTrue="1">
      <formula>$C618="end repeat"</formula>
    </cfRule>
    <cfRule type="expression" dxfId="194" priority="1707" stopIfTrue="1">
      <formula>$C618="begin repeat"</formula>
    </cfRule>
    <cfRule type="expression" dxfId="193" priority="1708" stopIfTrue="1">
      <formula>$C618="end group"</formula>
    </cfRule>
    <cfRule type="expression" dxfId="192" priority="1709" stopIfTrue="1">
      <formula>$C618="begin group"</formula>
    </cfRule>
    <cfRule type="expression" dxfId="191" priority="1710" stopIfTrue="1">
      <formula>$C618="comments"</formula>
    </cfRule>
    <cfRule type="expression" dxfId="190" priority="1711" stopIfTrue="1">
      <formula>OR($C618="audio", $C618="video")</formula>
    </cfRule>
    <cfRule type="expression" dxfId="189" priority="1712" stopIfTrue="1">
      <formula>$C618="image"</formula>
    </cfRule>
    <cfRule type="expression" dxfId="188" priority="1713" stopIfTrue="1">
      <formula>OR($C618="date", $C618="datetime")</formula>
    </cfRule>
    <cfRule type="expression" dxfId="187" priority="1714" stopIfTrue="1">
      <formula>OR($C618="calculate", $C618="calculate_here")</formula>
    </cfRule>
    <cfRule type="expression" dxfId="186" priority="1715" stopIfTrue="1">
      <formula>$C618="note"</formula>
    </cfRule>
    <cfRule type="expression" dxfId="185" priority="1716" stopIfTrue="1">
      <formula>$C618="barcode"</formula>
    </cfRule>
    <cfRule type="expression" dxfId="184" priority="1717" stopIfTrue="1">
      <formula>OR($C618="geopoint", $C618="geoshape", $C618="geotrace")</formula>
    </cfRule>
    <cfRule type="expression" dxfId="183" priority="1718" stopIfTrue="1">
      <formula>OR($C618="audio audit", $C618="text audit", $C618="speed violations count", $C618="speed violations list", $C618="speed violations audit")</formula>
    </cfRule>
    <cfRule type="expression" dxfId="182" priority="1719" stopIfTrue="1">
      <formula>OR($C618="username", $C618="phonenumber", $C618="start", $C618="end", $C618="deviceid", $C618="subscriberid", $C618="simserial", $C618="caseid")</formula>
    </cfRule>
    <cfRule type="expression" dxfId="181" priority="1720" stopIfTrue="1">
      <formula>OR(AND(LEFT($C618, 16)="select_multiple ", LEN($C618)&gt;16, NOT(ISNUMBER(SEARCH(" ", $C618, 17)))), AND(LEFT($C618, 11)="select_one ", LEN($C618)&gt;11, NOT(ISNUMBER(SEARCH(" ", $C618, 12)))))</formula>
    </cfRule>
    <cfRule type="expression" dxfId="180" priority="1721" stopIfTrue="1">
      <formula>$C618="decimal"</formula>
    </cfRule>
    <cfRule type="expression" dxfId="179" priority="1722" stopIfTrue="1">
      <formula>$C618="integer"</formula>
    </cfRule>
    <cfRule type="expression" dxfId="178" priority="1723" stopIfTrue="1">
      <formula>$C618="text"</formula>
    </cfRule>
    <cfRule type="expression" dxfId="177" priority="1724" stopIfTrue="1">
      <formula>$C618="end repeat"</formula>
    </cfRule>
    <cfRule type="expression" dxfId="176" priority="1725" stopIfTrue="1">
      <formula>$C618="begin repeat"</formula>
    </cfRule>
    <cfRule type="expression" dxfId="175" priority="1726" stopIfTrue="1">
      <formula>$C618="end group"</formula>
    </cfRule>
    <cfRule type="expression" dxfId="174" priority="1727" stopIfTrue="1">
      <formula>$C618="begin group"</formula>
    </cfRule>
    <cfRule type="expression" dxfId="173" priority="1728" stopIfTrue="1">
      <formula>$C618="comments"</formula>
    </cfRule>
    <cfRule type="expression" dxfId="172" priority="1729" stopIfTrue="1">
      <formula>OR($C618="audio", $C618="video")</formula>
    </cfRule>
    <cfRule type="expression" dxfId="171" priority="1730" stopIfTrue="1">
      <formula>$C618="image"</formula>
    </cfRule>
    <cfRule type="expression" dxfId="170" priority="1731" stopIfTrue="1">
      <formula>OR($C618="date", $C618="datetime")</formula>
    </cfRule>
    <cfRule type="expression" dxfId="169" priority="1732" stopIfTrue="1">
      <formula>OR($C618="calculate", $C618="calculate_here")</formula>
    </cfRule>
    <cfRule type="expression" dxfId="168" priority="1733" stopIfTrue="1">
      <formula>$C618="note"</formula>
    </cfRule>
    <cfRule type="expression" dxfId="167" priority="1734" stopIfTrue="1">
      <formula>$C618="barcode"</formula>
    </cfRule>
  </conditionalFormatting>
  <conditionalFormatting sqref="N637 N639:N640">
    <cfRule type="expression" dxfId="166" priority="1735" stopIfTrue="1">
      <formula>$C637="integer"</formula>
    </cfRule>
    <cfRule type="expression" dxfId="165" priority="1736" stopIfTrue="1">
      <formula>$C637="comments"</formula>
    </cfRule>
    <cfRule type="expression" dxfId="164" priority="1737" stopIfTrue="1">
      <formula>OR($C637="audio", $C637="video")</formula>
    </cfRule>
    <cfRule type="expression" dxfId="163" priority="1738" stopIfTrue="1">
      <formula>$C637="image"</formula>
    </cfRule>
    <cfRule type="expression" dxfId="162" priority="1739" stopIfTrue="1">
      <formula>OR($C637="date", $C637="datetime")</formula>
    </cfRule>
    <cfRule type="expression" dxfId="161" priority="1740" stopIfTrue="1">
      <formula>OR($C637="calculate", $C637="calculate_here")</formula>
    </cfRule>
    <cfRule type="expression" dxfId="160" priority="1741" stopIfTrue="1">
      <formula>$C637="note"</formula>
    </cfRule>
    <cfRule type="expression" dxfId="159" priority="1742" stopIfTrue="1">
      <formula>$C637="barcode"</formula>
    </cfRule>
    <cfRule type="expression" dxfId="158" priority="1743" stopIfTrue="1">
      <formula>OR($C637="geopoint", $C637="geoshape", $C637="geotrace")</formula>
    </cfRule>
    <cfRule type="expression" dxfId="157" priority="1744" stopIfTrue="1">
      <formula>OR($C637="audio audit", $C637="text audit", $C637="speed violations count", $C637="speed violations list", $C637="speed violations audit")</formula>
    </cfRule>
    <cfRule type="expression" dxfId="156" priority="1745" stopIfTrue="1">
      <formula>OR($C637="username", $C637="phonenumber", $C637="start", $C637="end", $C637="deviceid", $C637="subscriberid", $C637="simserial", $C637="caseid")</formula>
    </cfRule>
    <cfRule type="expression" dxfId="155" priority="1746" stopIfTrue="1">
      <formula>OR(AND(LEFT($C637, 16)="select_multiple ", LEN($C637)&gt;16, NOT(ISNUMBER(SEARCH(" ", $C637, 17)))), AND(LEFT($C637, 11)="select_one ", LEN($C637)&gt;11, NOT(ISNUMBER(SEARCH(" ", $C637, 12)))))</formula>
    </cfRule>
    <cfRule type="expression" dxfId="154" priority="1747" stopIfTrue="1">
      <formula>$C637="decimal"</formula>
    </cfRule>
    <cfRule type="expression" dxfId="153" priority="1748" stopIfTrue="1">
      <formula>$C637="integer"</formula>
    </cfRule>
    <cfRule type="expression" dxfId="152" priority="1749" stopIfTrue="1">
      <formula>$C637="text"</formula>
    </cfRule>
    <cfRule type="expression" dxfId="151" priority="1750" stopIfTrue="1">
      <formula>$C637="end repeat"</formula>
    </cfRule>
    <cfRule type="expression" dxfId="150" priority="1751" stopIfTrue="1">
      <formula>$C637="begin repeat"</formula>
    </cfRule>
    <cfRule type="expression" dxfId="149" priority="1752" stopIfTrue="1">
      <formula>$C637="end group"</formula>
    </cfRule>
    <cfRule type="expression" dxfId="148" priority="1753" stopIfTrue="1">
      <formula>$C637="begin group"</formula>
    </cfRule>
    <cfRule type="expression" dxfId="147" priority="1754" stopIfTrue="1">
      <formula>OR($C637="audio audit", $C637="text audit", $C637="speed violations count", $C637="speed violations list", $C637="speed violations audit")</formula>
    </cfRule>
    <cfRule type="expression" dxfId="146" priority="1755" stopIfTrue="1">
      <formula>OR($C637="username", $C637="phonenumber", $C637="start", $C637="end", $C637="deviceid", $C637="subscriberid", $C637="simserial", $C637="caseid")</formula>
    </cfRule>
    <cfRule type="expression" dxfId="145" priority="1756" stopIfTrue="1">
      <formula>$C637="decimal"</formula>
    </cfRule>
    <cfRule type="expression" dxfId="144" priority="1757" stopIfTrue="1">
      <formula>$C637="text"</formula>
    </cfRule>
    <cfRule type="expression" dxfId="143" priority="1758" stopIfTrue="1">
      <formula>$C637="end repeat"</formula>
    </cfRule>
    <cfRule type="expression" dxfId="142" priority="1759" stopIfTrue="1">
      <formula>$C637="begin repeat"</formula>
    </cfRule>
  </conditionalFormatting>
  <conditionalFormatting sqref="N642:N644">
    <cfRule type="expression" dxfId="141" priority="1760" stopIfTrue="1">
      <formula>OR($C642="audio", $C642="video")</formula>
    </cfRule>
    <cfRule type="expression" dxfId="140" priority="1761" stopIfTrue="1">
      <formula>$C642="image"</formula>
    </cfRule>
    <cfRule type="expression" dxfId="139" priority="1762" stopIfTrue="1">
      <formula>OR($C642="date", $C642="datetime")</formula>
    </cfRule>
    <cfRule type="expression" dxfId="138" priority="1763" stopIfTrue="1">
      <formula>OR($C642="calculate", $C642="calculate_here")</formula>
    </cfRule>
    <cfRule type="expression" dxfId="137" priority="1764" stopIfTrue="1">
      <formula>$C642="note"</formula>
    </cfRule>
    <cfRule type="expression" dxfId="136" priority="1765" stopIfTrue="1">
      <formula>$C642="barcode"</formula>
    </cfRule>
    <cfRule type="expression" dxfId="135" priority="1766" stopIfTrue="1">
      <formula>OR($C642="geopoint", $C642="geoshape", $C642="geotrace")</formula>
    </cfRule>
    <cfRule type="expression" dxfId="134" priority="1767" stopIfTrue="1">
      <formula>OR($C642="audio audit", $C642="text audit", $C642="speed violations count", $C642="speed violations list", $C642="speed violations audit")</formula>
    </cfRule>
    <cfRule type="expression" dxfId="133" priority="1768" stopIfTrue="1">
      <formula>OR($C642="username", $C642="phonenumber", $C642="start", $C642="end", $C642="deviceid", $C642="subscriberid", $C642="simserial", $C642="caseid")</formula>
    </cfRule>
    <cfRule type="expression" dxfId="132" priority="1769" stopIfTrue="1">
      <formula>OR(AND(LEFT($C642, 16)="select_multiple ", LEN($C642)&gt;16, NOT(ISNUMBER(SEARCH(" ", $C642, 17)))), AND(LEFT($C642, 11)="select_one ", LEN($C642)&gt;11, NOT(ISNUMBER(SEARCH(" ", $C642, 12)))))</formula>
    </cfRule>
    <cfRule type="expression" dxfId="131" priority="1770" stopIfTrue="1">
      <formula>$C642="decimal"</formula>
    </cfRule>
    <cfRule type="expression" dxfId="130" priority="1771" stopIfTrue="1">
      <formula>$C642="integer"</formula>
    </cfRule>
    <cfRule type="expression" dxfId="129" priority="1772" stopIfTrue="1">
      <formula>$C642="text"</formula>
    </cfRule>
    <cfRule type="expression" dxfId="128" priority="1773" stopIfTrue="1">
      <formula>$C642="end repeat"</formula>
    </cfRule>
    <cfRule type="expression" dxfId="127" priority="1774" stopIfTrue="1">
      <formula>$C642="begin repeat"</formula>
    </cfRule>
    <cfRule type="expression" dxfId="126" priority="1775" stopIfTrue="1">
      <formula>$C642="end group"</formula>
    </cfRule>
    <cfRule type="expression" dxfId="125" priority="1776" stopIfTrue="1">
      <formula>$C642="begin group"</formula>
    </cfRule>
    <cfRule type="expression" dxfId="124" priority="1777" stopIfTrue="1">
      <formula>OR($C642="audio audit", $C642="text audit", $C642="speed violations count", $C642="speed violations list", $C642="speed violations audit")</formula>
    </cfRule>
    <cfRule type="expression" dxfId="123" priority="1778" stopIfTrue="1">
      <formula>OR($C642="username", $C642="phonenumber", $C642="start", $C642="end", $C642="deviceid", $C642="subscriberid", $C642="simserial", $C642="caseid")</formula>
    </cfRule>
    <cfRule type="expression" dxfId="122" priority="1779" stopIfTrue="1">
      <formula>$C642="decimal"</formula>
    </cfRule>
    <cfRule type="expression" dxfId="121" priority="1780" stopIfTrue="1">
      <formula>$C642="text"</formula>
    </cfRule>
    <cfRule type="expression" dxfId="120" priority="1781" stopIfTrue="1">
      <formula>$C642="end repeat"</formula>
    </cfRule>
    <cfRule type="expression" dxfId="119" priority="1782" stopIfTrue="1">
      <formula>$C642="begin repeat"</formula>
    </cfRule>
    <cfRule type="expression" dxfId="118" priority="1783" stopIfTrue="1">
      <formula>OR($C642="date", $C642="datetime")</formula>
    </cfRule>
    <cfRule type="expression" dxfId="117" priority="1784" stopIfTrue="1">
      <formula>OR($C642="calculate", $C642="calculate_here")</formula>
    </cfRule>
  </conditionalFormatting>
  <conditionalFormatting sqref="N422:O422">
    <cfRule type="expression" dxfId="116" priority="1785" stopIfTrue="1">
      <formula>$C422="image"</formula>
    </cfRule>
    <cfRule type="expression" dxfId="115" priority="1786" stopIfTrue="1">
      <formula>OR($C422="date", $C422="datetime")</formula>
    </cfRule>
  </conditionalFormatting>
  <conditionalFormatting sqref="N228:Q233">
    <cfRule type="expression" dxfId="114" priority="1787" stopIfTrue="1">
      <formula>OR($C228="audio audit", $C228="text audit", $C228="speed violations count", $C228="speed violations list", $C228="speed violations audit")</formula>
    </cfRule>
  </conditionalFormatting>
  <conditionalFormatting sqref="N271:Q278">
    <cfRule type="expression" dxfId="113" priority="1788" stopIfTrue="1">
      <formula>$C271="end group"</formula>
    </cfRule>
    <cfRule type="expression" dxfId="112" priority="1789" stopIfTrue="1">
      <formula>$C271="begin group"</formula>
    </cfRule>
  </conditionalFormatting>
  <conditionalFormatting sqref="O44">
    <cfRule type="expression" dxfId="111" priority="1790" stopIfTrue="1">
      <formula>$C44="comments"</formula>
    </cfRule>
    <cfRule type="expression" dxfId="110" priority="1791" stopIfTrue="1">
      <formula>OR($C44="audio", $C44="video")</formula>
    </cfRule>
    <cfRule type="expression" dxfId="109" priority="1792" stopIfTrue="1">
      <formula>$C44="image"</formula>
    </cfRule>
    <cfRule type="expression" dxfId="108" priority="1793" stopIfTrue="1">
      <formula>OR($C44="date", $C44="datetime")</formula>
    </cfRule>
    <cfRule type="expression" dxfId="107" priority="1794" stopIfTrue="1">
      <formula>OR($C44="calculate", $C44="calculate_here")</formula>
    </cfRule>
    <cfRule type="expression" dxfId="106" priority="1795" stopIfTrue="1">
      <formula>$C44="note"</formula>
    </cfRule>
    <cfRule type="expression" dxfId="105" priority="1796" stopIfTrue="1">
      <formula>$C44="barcode"</formula>
    </cfRule>
    <cfRule type="expression" dxfId="104" priority="1797" stopIfTrue="1">
      <formula>OR($C44="geopoint", $C44="geoshape", $C44="geotrace")</formula>
    </cfRule>
    <cfRule type="expression" dxfId="103" priority="1798" stopIfTrue="1">
      <formula>OR($C44="audio audit", $C44="text audit", $C44="speed violations count", $C44="speed violations list", $C44="speed violations audit")</formula>
    </cfRule>
    <cfRule type="expression" dxfId="102" priority="1799" stopIfTrue="1">
      <formula>OR($C44="username", $C44="phonenumber", $C44="start", $C44="end", $C44="deviceid", $C44="subscriberid", $C44="simserial", $C44="caseid")</formula>
    </cfRule>
    <cfRule type="expression" dxfId="101" priority="1800" stopIfTrue="1">
      <formula>OR(AND(LEFT($C44, 16)="select_multiple ", LEN($C44)&gt;16, NOT(ISNUMBER(SEARCH(" ", $C44, 17)))), AND(LEFT($C44, 11)="select_one ", LEN($C44)&gt;11, NOT(ISNUMBER(SEARCH(" ", $C44, 12)))))</formula>
    </cfRule>
    <cfRule type="expression" dxfId="100" priority="1801" stopIfTrue="1">
      <formula>$C44="decimal"</formula>
    </cfRule>
    <cfRule type="expression" dxfId="99" priority="1802" stopIfTrue="1">
      <formula>$C44="integer"</formula>
    </cfRule>
    <cfRule type="expression" dxfId="98" priority="1803" stopIfTrue="1">
      <formula>$C44="text"</formula>
    </cfRule>
    <cfRule type="expression" dxfId="97" priority="1804" stopIfTrue="1">
      <formula>$C44="end repeat"</formula>
    </cfRule>
    <cfRule type="expression" dxfId="96" priority="1805" stopIfTrue="1">
      <formula>$C44="begin repeat"</formula>
    </cfRule>
    <cfRule type="expression" dxfId="95" priority="1806" stopIfTrue="1">
      <formula>$C44="end group"</formula>
    </cfRule>
    <cfRule type="expression" dxfId="94" priority="1807" stopIfTrue="1">
      <formula>$C44="begin group"</formula>
    </cfRule>
  </conditionalFormatting>
  <conditionalFormatting sqref="O172:O177 H205:H207 O209 C228:E233">
    <cfRule type="expression" dxfId="93" priority="1812" stopIfTrue="1">
      <formula>$C172="integer"</formula>
    </cfRule>
  </conditionalFormatting>
  <conditionalFormatting sqref="O172:O177 H205:H208 O209 C228:E233">
    <cfRule type="expression" dxfId="92" priority="1809" stopIfTrue="1">
      <formula>$C172="end repeat"</formula>
    </cfRule>
  </conditionalFormatting>
  <conditionalFormatting sqref="O205:O206 H219 M221:O226 H208">
    <cfRule type="expression" dxfId="91" priority="1811" stopIfTrue="1">
      <formula>$C205="text"</formula>
    </cfRule>
  </conditionalFormatting>
  <conditionalFormatting sqref="O205:O206 H219 O221:O226">
    <cfRule type="expression" dxfId="90" priority="1810" stopIfTrue="1">
      <formula>$C205="end repeat"</formula>
    </cfRule>
  </conditionalFormatting>
  <conditionalFormatting sqref="O160:Q171 O178:Q180 P209:Q215 M210:O215 C2:G2 C14:G18 I14:Q24 R14:U31 H26:Q31 L87:M91 O87:Q91 I92:U96 L139:M151 O139:Q151 M182 O182:Q183 H183 L183 C190:H192 O203:Q204 I203:N207 O207:Q208 J209:N209 I209:I215 J210:K215 I221:I226 K221:K226 M221:N226 M228:N233 H238 M434:O434 M445:O445 O470:Q472 P473:Q477 I499:I511 M499:N511 M536:N536 P576:Q579 K584:K585 K591:K592 J597:K598 L597:L599 M598:M599 J11:Q11 H19:H24 J33:Q38 J40:Q69 H50:H53 J71:Q84 J86:Q86 I98:U103 L105:M108 O105:Q108 I110:K110 M110:U110 I111:U114 R113:U115 L115:M115 O115:Q115 I132:K132 M132:U132 L133:M137 O133:Q137 M153 O153:Q155 L154:M155 I156:U158 L190:L192 P190:Q192 O191:O192 M194 O194:Q198 L195:M198 H202 J202:Q202 I403:N404 P403:Q404 O405:Q421 O424:Q432 P433:Q434 I434:K434 O435:Q443 P444:Q445 I445:K445 O446:Q468 I536:K536 I546 M546:N546 J609:Q609 J611:Q612 J654:Q655 I656:U656 I659:U665 Q422:Q423">
    <cfRule type="expression" dxfId="89" priority="232" stopIfTrue="1">
      <formula>$C2="end repeat"</formula>
    </cfRule>
  </conditionalFormatting>
  <conditionalFormatting sqref="O203:Q204 M499:N511 K584:K585 K591:K592 J597:K598 M445:O445 M434:O434 N209:N215 I499:I511 L221:L227 L597:L599 M598:M599 L190:L192 O405:Q421 O424:Q432 P433:Q434 O435:Q443 P444:Q445 I203:N207 L550:L578 C190:H192 L403:N404 P403:Q404 I434:K434 I445:K445 I536:K536 M536:N536 M546:N546 J609:Q609 J611:Q612 P190:Q192 O191:O192 Q422:Q423 P473:Q477 I546">
    <cfRule type="expression" dxfId="88" priority="1836" stopIfTrue="1">
      <formula>$C190="text"</formula>
    </cfRule>
  </conditionalFormatting>
  <conditionalFormatting sqref="O203:Q208 M593:N597 M501:N511 L405:L477 M499:N499 O521:O523 O524:Q528 I530:Q530 E534:G534 O576:O578 P576:Q579 I580:K583 J584:K585 I586:K590 J591:K592 I593:K597 J597:K598 M580:Q583 Q584:Q585 M586:Q590 Q591:Q592 O520:Q520 O602:Q607">
    <cfRule type="expression" dxfId="87" priority="1813" stopIfTrue="1">
      <formula>OR($C203="date", $C203="datetime")</formula>
    </cfRule>
  </conditionalFormatting>
  <conditionalFormatting sqref="O228:Q233">
    <cfRule type="expression" dxfId="86" priority="1814" stopIfTrue="1">
      <formula>OR($C228="geopoint", $C228="geoshape", $C228="geotrace")</formula>
    </cfRule>
    <cfRule type="expression" dxfId="85" priority="1816" stopIfTrue="1">
      <formula>$C228="end repeat"</formula>
    </cfRule>
    <cfRule type="expression" dxfId="84" priority="1817" stopIfTrue="1">
      <formula>$C228="begin repeat"</formula>
    </cfRule>
    <cfRule type="expression" dxfId="83" priority="1818" stopIfTrue="1">
      <formula>$C228="end group"</formula>
    </cfRule>
    <cfRule type="expression" dxfId="82" priority="1819" stopIfTrue="1">
      <formula>$C228="begin group"</formula>
    </cfRule>
  </conditionalFormatting>
  <conditionalFormatting sqref="O446:Q472">
    <cfRule type="expression" dxfId="81" priority="1821" stopIfTrue="1">
      <formula>$C446="text"</formula>
    </cfRule>
  </conditionalFormatting>
  <conditionalFormatting sqref="O469:Q469">
    <cfRule type="expression" dxfId="80" priority="1820" stopIfTrue="1">
      <formula>$C469="end repeat"</formula>
    </cfRule>
  </conditionalFormatting>
  <conditionalFormatting sqref="O521:Q528">
    <cfRule type="expression" dxfId="79" priority="1822" stopIfTrue="1">
      <formula>OR($C521="audio", $C521="video")</formula>
    </cfRule>
  </conditionalFormatting>
  <conditionalFormatting sqref="P209:P210 O210:O215 C71:G81 H203:H209 H217 H201">
    <cfRule type="expression" dxfId="78" priority="252" stopIfTrue="1">
      <formula>OR($C71="audio audit", $C71="text audit", $C71="speed violations count", $C71="speed violations list", $C71="speed violations audit")</formula>
    </cfRule>
  </conditionalFormatting>
  <conditionalFormatting sqref="P521:P523">
    <cfRule type="expression" dxfId="77" priority="1823" stopIfTrue="1">
      <formula>$C521="begin repeat"</formula>
    </cfRule>
    <cfRule type="expression" dxfId="76" priority="1824" stopIfTrue="1">
      <formula>$C521="image"</formula>
    </cfRule>
    <cfRule type="expression" dxfId="75" priority="1825" stopIfTrue="1">
      <formula>OR($C521="date", $C521="datetime")</formula>
    </cfRule>
    <cfRule type="expression" dxfId="74" priority="1826" stopIfTrue="1">
      <formula>OR($C521="calculate", $C521="calculate_here")</formula>
    </cfRule>
  </conditionalFormatting>
  <conditionalFormatting sqref="P248:Q256 O249:O256">
    <cfRule type="expression" dxfId="73" priority="784" stopIfTrue="1">
      <formula>OR($C248="audio", $C248="video")</formula>
    </cfRule>
    <cfRule type="expression" dxfId="72" priority="1827" stopIfTrue="1">
      <formula>$C248="image"</formula>
    </cfRule>
  </conditionalFormatting>
  <conditionalFormatting sqref="P521:Q523">
    <cfRule type="expression" dxfId="71" priority="1828" stopIfTrue="1">
      <formula>$C521="comments"</formula>
    </cfRule>
  </conditionalFormatting>
  <conditionalFormatting sqref="P576:Q579 L125:L128 P129:Q130 P616:Q618">
    <cfRule type="expression" dxfId="70" priority="863" stopIfTrue="1">
      <formula>OR($C125="username", $C125="phonenumber", $C125="start", $C125="end", $C125="deviceid", $C125="subscriberid", $C125="simserial", $C125="caseid")</formula>
    </cfRule>
  </conditionalFormatting>
  <conditionalFormatting sqref="P576:Q579">
    <cfRule type="expression" dxfId="69" priority="862" stopIfTrue="1">
      <formula>OR($C576="audio audit", $C576="text audit", $C576="speed violations count", $C576="speed violations list", $C576="speed violations audit")</formula>
    </cfRule>
  </conditionalFormatting>
  <conditionalFormatting sqref="Q172:Q177 Q205:Q206 Q210:Q215 Q221:Q226">
    <cfRule type="expression" dxfId="68" priority="1830" stopIfTrue="1">
      <formula>$C172="end repeat"</formula>
    </cfRule>
  </conditionalFormatting>
  <conditionalFormatting sqref="Q205:Q206 O207:Q207 J40:Q69 I209:K215 M210:O215 L87:M91 J11:Q11 C50:H53 J33:Q38 J71:Q84 J86:Q86 L105:M108 L115:M115 L133:M137 H26:U31 H12:U12 I14:U24 Q172:Q177 P209:Q210 Q210:Q215 O87:Q91 I92:U96 I221:I226 K221:K226 Q221:Q226 H19:H24 O105:Q108 I110:K110 M110:U110 I111:U114 R113:U115 O115:Q115 I132:K132 M132:U132 O133:Q137">
    <cfRule type="expression" dxfId="67" priority="1829" stopIfTrue="1">
      <formula>$C11="text"</formula>
    </cfRule>
  </conditionalFormatting>
  <conditionalFormatting sqref="Q236">
    <cfRule type="expression" dxfId="66" priority="1832" stopIfTrue="1">
      <formula>OR($C236="audio", $C236="video")</formula>
    </cfRule>
    <cfRule type="expression" dxfId="65" priority="1833" stopIfTrue="1">
      <formula>OR($C236="date", $C236="datetime")</formula>
    </cfRule>
    <cfRule type="expression" dxfId="64" priority="1834" stopIfTrue="1">
      <formula>OR($C236="calculate", $C236="calculate_here")</formula>
    </cfRule>
    <cfRule type="expression" dxfId="63" priority="1835" stopIfTrue="1">
      <formula>OR($C236="geopoint", $C236="geoshape", $C236="geotrace")</formula>
    </cfRule>
  </conditionalFormatting>
  <conditionalFormatting sqref="Q422:Q423">
    <cfRule type="expression" dxfId="62" priority="1837" stopIfTrue="1">
      <formula>$C422="decimal"</formula>
    </cfRule>
    <cfRule type="expression" dxfId="61" priority="1838" stopIfTrue="1">
      <formula>$C422="integer"</formula>
    </cfRule>
    <cfRule type="expression" dxfId="60" priority="1839" stopIfTrue="1">
      <formula>OR($C422="geopoint", $C422="geoshape", $C422="geotrace")</formula>
    </cfRule>
    <cfRule type="expression" dxfId="59" priority="1840" stopIfTrue="1">
      <formula>OR($C422="audio audit", $C422="text audit", $C422="speed violations count", $C422="speed violations list", $C422="speed violations audit")</formula>
    </cfRule>
    <cfRule type="expression" dxfId="58" priority="1841" stopIfTrue="1">
      <formula>OR($C422="username", $C422="phonenumber", $C422="start", $C422="end", $C422="deviceid", $C422="subscriberid", $C422="simserial", $C422="caseid")</formula>
    </cfRule>
  </conditionalFormatting>
  <conditionalFormatting sqref="R1:U1">
    <cfRule type="expression" dxfId="57" priority="1842" stopIfTrue="1">
      <formula>$A1="comments"</formula>
    </cfRule>
    <cfRule type="expression" dxfId="56" priority="1843" stopIfTrue="1">
      <formula>OR($A1="audio", $A1="video")</formula>
    </cfRule>
    <cfRule type="expression" dxfId="55" priority="1844" stopIfTrue="1">
      <formula>$A1="image"</formula>
    </cfRule>
    <cfRule type="expression" dxfId="54" priority="1845" stopIfTrue="1">
      <formula>OR($A1="date", $A1="datetime")</formula>
    </cfRule>
    <cfRule type="expression" dxfId="53" priority="1846" stopIfTrue="1">
      <formula>OR($A1="calculate", $A1="calculate_here")</formula>
    </cfRule>
    <cfRule type="expression" dxfId="52" priority="1847" stopIfTrue="1">
      <formula>$A1="note"</formula>
    </cfRule>
    <cfRule type="expression" dxfId="51" priority="1848" stopIfTrue="1">
      <formula>$A1="barcode"</formula>
    </cfRule>
    <cfRule type="expression" dxfId="50" priority="1849" stopIfTrue="1">
      <formula>OR($A1="geopoint", $A1="geoshape", $A1="geotrace")</formula>
    </cfRule>
    <cfRule type="expression" dxfId="49" priority="1850" stopIfTrue="1">
      <formula>OR($A1="audio audit", $A1="text audit", $A1="speed violations count", $A1="speed violations list", $A1="speed violations audit")</formula>
    </cfRule>
    <cfRule type="expression" dxfId="48" priority="1851" stopIfTrue="1">
      <formula>OR($A1="username", $A1="phonenumber", $A1="start", $A1="end", $A1="deviceid", $A1="subscriberid", $A1="simserial", $A1="caseid")</formula>
    </cfRule>
    <cfRule type="expression" dxfId="47" priority="1852" stopIfTrue="1">
      <formula>OR(AND(LEFT($A1, 16)="select_multiple ", LEN($A1)&gt;16, NOT(ISNUMBER(SEARCH(" ", $A1, 17)))), AND(LEFT($A1, 11)="select_one ", LEN($A1)&gt;11, NOT(ISNUMBER(SEARCH(" ", $A1, 12)))))</formula>
    </cfRule>
    <cfRule type="expression" dxfId="46" priority="1853" stopIfTrue="1">
      <formula>$A1="decimal"</formula>
    </cfRule>
    <cfRule type="expression" dxfId="45" priority="1854" stopIfTrue="1">
      <formula>$A1="integer"</formula>
    </cfRule>
    <cfRule type="expression" dxfId="44" priority="1855" stopIfTrue="1">
      <formula>$A1="text"</formula>
    </cfRule>
    <cfRule type="expression" dxfId="43" priority="1856" stopIfTrue="1">
      <formula>$A1="end repeat"</formula>
    </cfRule>
    <cfRule type="expression" dxfId="42" priority="1857" stopIfTrue="1">
      <formula>$A1="begin repeat"</formula>
    </cfRule>
    <cfRule type="expression" dxfId="41" priority="1858" stopIfTrue="1">
      <formula>$A1="end group"</formula>
    </cfRule>
    <cfRule type="expression" dxfId="40" priority="1859" stopIfTrue="1">
      <formula>$A1="begin group"</formula>
    </cfRule>
  </conditionalFormatting>
  <conditionalFormatting sqref="R321:U321">
    <cfRule type="expression" dxfId="39" priority="1225" stopIfTrue="1">
      <formula>$C321="end repeat"</formula>
    </cfRule>
  </conditionalFormatting>
  <conditionalFormatting sqref="R542:U542">
    <cfRule type="expression" dxfId="38" priority="1861" stopIfTrue="1">
      <formula>$C542="end repeat"</formula>
    </cfRule>
  </conditionalFormatting>
  <conditionalFormatting sqref="S29:U31 S33:U38 S40:U44">
    <cfRule type="expression" dxfId="37" priority="1862" stopIfTrue="1">
      <formula>OR(AND(LEFT($C29, 16)="select_multiple ", LEN($C29)&gt;16, NOT(ISNUMBER(SEARCH(" ", $C29, 17)))), AND(LEFT($C29, 11)="select_one ", LEN($C29)&gt;11, NOT(ISNUMBER(SEARCH(" ", $C29, 12)))))</formula>
    </cfRule>
  </conditionalFormatting>
  <conditionalFormatting sqref="S29:U31 S33:U38">
    <cfRule type="expression" dxfId="36" priority="1863" stopIfTrue="1">
      <formula>OR($C29="calculate", $C29="calculate_here")</formula>
    </cfRule>
  </conditionalFormatting>
  <pageMargins left="0.7" right="0.7" top="0.75" bottom="0.75" header="0" footer="0"/>
  <pageSetup orientation="portrait"/>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56D86-3046-4C1D-9552-812E9070F48D}">
  <dimension ref="A1:A17"/>
  <sheetViews>
    <sheetView tabSelected="1" workbookViewId="0">
      <selection sqref="A1:A20"/>
    </sheetView>
  </sheetViews>
  <sheetFormatPr defaultRowHeight="12.75" x14ac:dyDescent="0.2"/>
  <cols>
    <col min="1" max="1" width="121" customWidth="1"/>
  </cols>
  <sheetData>
    <row r="1" spans="1:1" ht="15.75" x14ac:dyDescent="0.2">
      <c r="A1" s="111" t="s">
        <v>43</v>
      </c>
    </row>
    <row r="2" spans="1:1" ht="15.75" x14ac:dyDescent="0.2">
      <c r="A2" s="119" t="s">
        <v>87</v>
      </c>
    </row>
    <row r="3" spans="1:1" ht="15.75" x14ac:dyDescent="0.2">
      <c r="A3" s="119" t="s">
        <v>176</v>
      </c>
    </row>
    <row r="4" spans="1:1" ht="15.75" x14ac:dyDescent="0.2">
      <c r="A4" s="119" t="s">
        <v>325</v>
      </c>
    </row>
    <row r="5" spans="1:1" ht="15.75" x14ac:dyDescent="0.2">
      <c r="A5" s="119" t="s">
        <v>399</v>
      </c>
    </row>
    <row r="6" spans="1:1" ht="15.75" x14ac:dyDescent="0.2">
      <c r="A6" s="119" t="s">
        <v>15</v>
      </c>
    </row>
    <row r="7" spans="1:1" ht="15.75" x14ac:dyDescent="0.2">
      <c r="A7" s="119" t="s">
        <v>17</v>
      </c>
    </row>
    <row r="8" spans="1:1" ht="15.75" x14ac:dyDescent="0.2">
      <c r="A8" s="119" t="s">
        <v>19</v>
      </c>
    </row>
    <row r="9" spans="1:1" ht="15.75" x14ac:dyDescent="0.2">
      <c r="A9" s="119" t="s">
        <v>21</v>
      </c>
    </row>
    <row r="10" spans="1:1" ht="15.75" x14ac:dyDescent="0.2">
      <c r="A10" s="163" t="s">
        <v>23</v>
      </c>
    </row>
    <row r="11" spans="1:1" ht="15.75" x14ac:dyDescent="0.2">
      <c r="A11" s="119" t="s">
        <v>27</v>
      </c>
    </row>
    <row r="12" spans="1:1" ht="15.75" x14ac:dyDescent="0.2">
      <c r="A12" s="119" t="s">
        <v>29</v>
      </c>
    </row>
    <row r="13" spans="1:1" ht="15.75" x14ac:dyDescent="0.2">
      <c r="A13" s="119" t="s">
        <v>31</v>
      </c>
    </row>
    <row r="14" spans="1:1" ht="15.75" x14ac:dyDescent="0.2">
      <c r="A14" s="119" t="s">
        <v>33</v>
      </c>
    </row>
    <row r="15" spans="1:1" ht="15.75" x14ac:dyDescent="0.2">
      <c r="A15" s="119" t="s">
        <v>35</v>
      </c>
    </row>
    <row r="16" spans="1:1" ht="15.75" x14ac:dyDescent="0.2">
      <c r="A16" s="119" t="s">
        <v>25</v>
      </c>
    </row>
    <row r="17" spans="1:1" ht="15.75" x14ac:dyDescent="0.2">
      <c r="A17" s="119" t="s">
        <v>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pane ySplit="1" topLeftCell="A381" activePane="bottomLeft" state="frozen"/>
      <selection pane="bottomLeft" activeCell="C407" sqref="C407"/>
    </sheetView>
  </sheetViews>
  <sheetFormatPr defaultColWidth="12.42578125" defaultRowHeight="15" customHeight="1" x14ac:dyDescent="0.2"/>
  <cols>
    <col min="1" max="2" width="19.28515625" customWidth="1"/>
    <col min="3" max="3" width="53.7109375" customWidth="1"/>
    <col min="4" max="5" width="19.28515625" customWidth="1"/>
    <col min="6" max="6" width="35.7109375" customWidth="1"/>
    <col min="7" max="26" width="19.28515625" customWidth="1"/>
  </cols>
  <sheetData>
    <row r="1" spans="1:26" ht="15.75" customHeight="1" x14ac:dyDescent="0.2">
      <c r="A1" s="6" t="s">
        <v>1945</v>
      </c>
      <c r="B1" s="6" t="s">
        <v>1946</v>
      </c>
      <c r="C1" s="6" t="s">
        <v>60</v>
      </c>
      <c r="D1" s="6" t="s">
        <v>2550</v>
      </c>
      <c r="E1" s="6" t="s">
        <v>1947</v>
      </c>
      <c r="F1" s="84" t="s">
        <v>1948</v>
      </c>
    </row>
    <row r="2" spans="1:26" ht="12.75" customHeight="1" x14ac:dyDescent="0.2">
      <c r="A2" s="85" t="s">
        <v>1949</v>
      </c>
      <c r="B2" s="85">
        <v>1</v>
      </c>
      <c r="C2" s="85" t="s">
        <v>1950</v>
      </c>
      <c r="D2" s="85"/>
      <c r="E2" s="85" t="s">
        <v>2571</v>
      </c>
      <c r="F2" s="86" t="s">
        <v>1951</v>
      </c>
      <c r="G2" s="85"/>
      <c r="H2" s="85"/>
      <c r="I2" s="85"/>
      <c r="J2" s="85"/>
      <c r="K2" s="85"/>
      <c r="L2" s="85"/>
      <c r="M2" s="85"/>
      <c r="N2" s="85"/>
      <c r="O2" s="85"/>
      <c r="P2" s="85"/>
      <c r="Q2" s="85"/>
      <c r="R2" s="85"/>
      <c r="S2" s="85"/>
      <c r="T2" s="85"/>
      <c r="U2" s="85"/>
      <c r="V2" s="85"/>
      <c r="W2" s="85"/>
      <c r="X2" s="85"/>
      <c r="Y2" s="85"/>
      <c r="Z2" s="85"/>
    </row>
    <row r="3" spans="1:26" ht="12.75" customHeight="1" x14ac:dyDescent="0.2">
      <c r="A3" s="85" t="s">
        <v>1949</v>
      </c>
      <c r="B3" s="85">
        <v>2</v>
      </c>
      <c r="C3" s="85" t="s">
        <v>1952</v>
      </c>
      <c r="D3" s="85"/>
      <c r="E3" s="85" t="s">
        <v>2573</v>
      </c>
      <c r="F3" s="86" t="s">
        <v>1951</v>
      </c>
      <c r="G3" s="85"/>
      <c r="H3" s="85"/>
      <c r="I3" s="85"/>
      <c r="J3" s="85"/>
      <c r="K3" s="85"/>
      <c r="L3" s="85"/>
      <c r="M3" s="85"/>
      <c r="N3" s="85"/>
      <c r="O3" s="85"/>
      <c r="P3" s="85"/>
      <c r="Q3" s="85"/>
      <c r="R3" s="85"/>
      <c r="S3" s="85"/>
      <c r="T3" s="85"/>
      <c r="U3" s="85"/>
      <c r="V3" s="85"/>
      <c r="W3" s="85"/>
      <c r="X3" s="85"/>
      <c r="Y3" s="85"/>
      <c r="Z3" s="85"/>
    </row>
    <row r="4" spans="1:26" ht="12.75" customHeight="1" x14ac:dyDescent="0.2">
      <c r="A4" s="85" t="s">
        <v>1949</v>
      </c>
      <c r="B4" s="85">
        <v>3</v>
      </c>
      <c r="C4" s="85" t="s">
        <v>1953</v>
      </c>
      <c r="D4" s="85"/>
      <c r="E4" s="85" t="s">
        <v>2572</v>
      </c>
      <c r="F4" s="86" t="s">
        <v>1951</v>
      </c>
      <c r="G4" s="85"/>
      <c r="H4" s="85"/>
      <c r="I4" s="85"/>
      <c r="J4" s="85"/>
      <c r="K4" s="85"/>
      <c r="L4" s="85"/>
      <c r="M4" s="85"/>
      <c r="N4" s="85"/>
      <c r="O4" s="85"/>
      <c r="P4" s="85"/>
      <c r="Q4" s="85"/>
      <c r="R4" s="85"/>
      <c r="S4" s="85"/>
      <c r="T4" s="85"/>
      <c r="U4" s="85"/>
      <c r="V4" s="85"/>
      <c r="W4" s="85"/>
      <c r="X4" s="85"/>
      <c r="Y4" s="85"/>
      <c r="Z4" s="85"/>
    </row>
    <row r="5" spans="1:26" ht="12.75" customHeight="1" x14ac:dyDescent="0.2">
      <c r="A5" s="85" t="s">
        <v>1954</v>
      </c>
      <c r="B5" s="85">
        <v>11</v>
      </c>
      <c r="C5" s="85" t="s">
        <v>1955</v>
      </c>
      <c r="D5" s="85">
        <v>1</v>
      </c>
      <c r="E5" s="85" t="s">
        <v>2574</v>
      </c>
      <c r="F5" s="86" t="s">
        <v>1951</v>
      </c>
      <c r="G5" s="85"/>
      <c r="H5" s="85"/>
      <c r="I5" s="85"/>
      <c r="J5" s="85"/>
      <c r="K5" s="85"/>
      <c r="L5" s="85"/>
      <c r="M5" s="85"/>
      <c r="N5" s="85"/>
      <c r="O5" s="85"/>
      <c r="P5" s="85"/>
      <c r="Q5" s="85"/>
      <c r="R5" s="85"/>
      <c r="S5" s="85"/>
      <c r="T5" s="85"/>
      <c r="U5" s="85"/>
      <c r="V5" s="85"/>
      <c r="W5" s="85"/>
      <c r="X5" s="85"/>
      <c r="Y5" s="85"/>
      <c r="Z5" s="85"/>
    </row>
    <row r="6" spans="1:26" ht="12.75" customHeight="1" x14ac:dyDescent="0.2">
      <c r="A6" s="85" t="s">
        <v>1954</v>
      </c>
      <c r="B6" s="85">
        <v>12</v>
      </c>
      <c r="C6" s="85" t="s">
        <v>1956</v>
      </c>
      <c r="D6" s="85">
        <v>1</v>
      </c>
      <c r="E6" s="85" t="s">
        <v>2575</v>
      </c>
      <c r="F6" s="86" t="s">
        <v>1951</v>
      </c>
      <c r="G6" s="85"/>
      <c r="H6" s="85"/>
      <c r="I6" s="85"/>
      <c r="J6" s="85"/>
      <c r="K6" s="85"/>
      <c r="L6" s="85"/>
      <c r="M6" s="85"/>
      <c r="N6" s="85"/>
      <c r="O6" s="85"/>
      <c r="P6" s="85"/>
      <c r="Q6" s="85"/>
      <c r="R6" s="85"/>
      <c r="S6" s="85"/>
      <c r="T6" s="85"/>
      <c r="U6" s="85"/>
      <c r="V6" s="85"/>
      <c r="W6" s="85"/>
      <c r="X6" s="85"/>
      <c r="Y6" s="85"/>
      <c r="Z6" s="85"/>
    </row>
    <row r="7" spans="1:26" ht="12.75" customHeight="1" x14ac:dyDescent="0.2">
      <c r="A7" s="85" t="s">
        <v>1954</v>
      </c>
      <c r="B7" s="85">
        <v>13</v>
      </c>
      <c r="C7" s="85" t="s">
        <v>1957</v>
      </c>
      <c r="D7" s="85">
        <v>2</v>
      </c>
      <c r="E7" s="85" t="s">
        <v>2576</v>
      </c>
      <c r="F7" s="86" t="s">
        <v>1951</v>
      </c>
      <c r="G7" s="85"/>
      <c r="H7" s="85"/>
      <c r="I7" s="85"/>
      <c r="J7" s="85"/>
      <c r="K7" s="85"/>
      <c r="L7" s="85"/>
      <c r="M7" s="85"/>
      <c r="N7" s="85"/>
      <c r="O7" s="85"/>
      <c r="P7" s="85"/>
      <c r="Q7" s="85"/>
      <c r="R7" s="85"/>
      <c r="S7" s="85"/>
      <c r="T7" s="85"/>
      <c r="U7" s="85"/>
      <c r="V7" s="85"/>
      <c r="W7" s="85"/>
      <c r="X7" s="85"/>
      <c r="Y7" s="85"/>
      <c r="Z7" s="85"/>
    </row>
    <row r="8" spans="1:26" ht="12.75" customHeight="1" x14ac:dyDescent="0.2">
      <c r="A8" s="85" t="s">
        <v>1954</v>
      </c>
      <c r="B8" s="85">
        <v>14</v>
      </c>
      <c r="C8" s="85" t="s">
        <v>1958</v>
      </c>
      <c r="D8" s="85">
        <v>2</v>
      </c>
      <c r="E8" s="85" t="s">
        <v>2577</v>
      </c>
      <c r="F8" s="86" t="s">
        <v>1951</v>
      </c>
      <c r="G8" s="85"/>
      <c r="H8" s="85"/>
      <c r="I8" s="85"/>
      <c r="J8" s="85"/>
      <c r="K8" s="85"/>
      <c r="L8" s="85"/>
      <c r="M8" s="85"/>
      <c r="N8" s="85"/>
      <c r="O8" s="85"/>
      <c r="P8" s="85"/>
      <c r="Q8" s="85"/>
      <c r="R8" s="85"/>
      <c r="S8" s="85"/>
      <c r="T8" s="85"/>
      <c r="U8" s="85"/>
      <c r="V8" s="85"/>
      <c r="W8" s="85"/>
      <c r="X8" s="85"/>
      <c r="Y8" s="85"/>
      <c r="Z8" s="85"/>
    </row>
    <row r="9" spans="1:26" ht="12.75" customHeight="1" x14ac:dyDescent="0.2">
      <c r="A9" s="85" t="s">
        <v>1954</v>
      </c>
      <c r="B9" s="85">
        <v>15</v>
      </c>
      <c r="C9" s="85" t="s">
        <v>1959</v>
      </c>
      <c r="D9" s="85">
        <v>2</v>
      </c>
      <c r="E9" s="85" t="s">
        <v>2578</v>
      </c>
      <c r="F9" s="86" t="s">
        <v>1951</v>
      </c>
      <c r="G9" s="85"/>
      <c r="H9" s="85"/>
      <c r="I9" s="85"/>
      <c r="J9" s="85"/>
      <c r="K9" s="85"/>
      <c r="L9" s="85"/>
      <c r="M9" s="85"/>
      <c r="N9" s="85"/>
      <c r="O9" s="85"/>
      <c r="P9" s="85"/>
      <c r="Q9" s="85"/>
      <c r="R9" s="85"/>
      <c r="S9" s="85"/>
      <c r="T9" s="85"/>
      <c r="U9" s="85"/>
      <c r="V9" s="85"/>
      <c r="W9" s="85"/>
      <c r="X9" s="85"/>
      <c r="Y9" s="85"/>
      <c r="Z9" s="85"/>
    </row>
    <row r="10" spans="1:26" ht="12.75" customHeight="1" x14ac:dyDescent="0.2">
      <c r="A10" s="85" t="s">
        <v>1954</v>
      </c>
      <c r="B10" s="85">
        <v>16</v>
      </c>
      <c r="C10" s="85" t="s">
        <v>1960</v>
      </c>
      <c r="D10" s="85">
        <v>2</v>
      </c>
      <c r="E10" s="85" t="s">
        <v>2579</v>
      </c>
      <c r="F10" s="86" t="s">
        <v>1951</v>
      </c>
      <c r="G10" s="85"/>
      <c r="H10" s="85"/>
      <c r="I10" s="85"/>
      <c r="J10" s="85"/>
      <c r="K10" s="85"/>
      <c r="L10" s="85"/>
      <c r="M10" s="85"/>
      <c r="N10" s="85"/>
      <c r="O10" s="85"/>
      <c r="P10" s="85"/>
      <c r="Q10" s="85"/>
      <c r="R10" s="85"/>
      <c r="S10" s="85"/>
      <c r="T10" s="85"/>
      <c r="U10" s="85"/>
      <c r="V10" s="85"/>
      <c r="W10" s="85"/>
      <c r="X10" s="85"/>
      <c r="Y10" s="85"/>
      <c r="Z10" s="85"/>
    </row>
    <row r="11" spans="1:26" ht="12.75" customHeight="1" x14ac:dyDescent="0.2">
      <c r="A11" s="85" t="s">
        <v>1954</v>
      </c>
      <c r="B11" s="85">
        <v>17</v>
      </c>
      <c r="C11" s="85" t="s">
        <v>1961</v>
      </c>
      <c r="D11" s="85">
        <v>3</v>
      </c>
      <c r="E11" s="85" t="s">
        <v>2580</v>
      </c>
      <c r="F11" s="86" t="s">
        <v>1951</v>
      </c>
      <c r="G11" s="85"/>
      <c r="H11" s="85"/>
      <c r="I11" s="85"/>
      <c r="J11" s="85"/>
      <c r="K11" s="85"/>
      <c r="L11" s="85"/>
      <c r="M11" s="85"/>
      <c r="N11" s="85"/>
      <c r="O11" s="85"/>
      <c r="P11" s="85"/>
      <c r="Q11" s="85"/>
      <c r="R11" s="85"/>
      <c r="S11" s="85"/>
      <c r="T11" s="85"/>
      <c r="U11" s="85"/>
      <c r="V11" s="85"/>
      <c r="W11" s="85"/>
      <c r="X11" s="85"/>
      <c r="Y11" s="85"/>
      <c r="Z11" s="85"/>
    </row>
    <row r="12" spans="1:26" ht="12.75" customHeight="1" x14ac:dyDescent="0.2">
      <c r="A12" s="85" t="s">
        <v>1954</v>
      </c>
      <c r="B12" s="85">
        <v>18</v>
      </c>
      <c r="C12" s="85" t="s">
        <v>1962</v>
      </c>
      <c r="D12" s="85">
        <v>3</v>
      </c>
      <c r="E12" s="85" t="s">
        <v>2581</v>
      </c>
      <c r="F12" s="86" t="s">
        <v>1951</v>
      </c>
      <c r="G12" s="85"/>
      <c r="H12" s="85"/>
      <c r="I12" s="85"/>
      <c r="J12" s="85"/>
      <c r="K12" s="85"/>
      <c r="L12" s="85"/>
      <c r="M12" s="85"/>
      <c r="N12" s="85"/>
      <c r="O12" s="85"/>
      <c r="P12" s="85"/>
      <c r="Q12" s="85"/>
      <c r="R12" s="85"/>
      <c r="S12" s="85"/>
      <c r="T12" s="85"/>
      <c r="U12" s="85"/>
      <c r="V12" s="85"/>
      <c r="W12" s="85"/>
      <c r="X12" s="85"/>
      <c r="Y12" s="85"/>
      <c r="Z12" s="85"/>
    </row>
    <row r="13" spans="1:26" ht="12.75" customHeight="1" x14ac:dyDescent="0.2">
      <c r="A13" s="85" t="s">
        <v>1954</v>
      </c>
      <c r="B13" s="85">
        <v>115</v>
      </c>
      <c r="C13" s="85" t="s">
        <v>1963</v>
      </c>
      <c r="D13" s="85">
        <v>11</v>
      </c>
      <c r="E13" s="85" t="s">
        <v>2582</v>
      </c>
      <c r="F13" s="86" t="s">
        <v>1951</v>
      </c>
      <c r="G13" s="85"/>
      <c r="H13" s="85"/>
      <c r="I13" s="85"/>
      <c r="J13" s="85"/>
      <c r="K13" s="85"/>
      <c r="L13" s="85"/>
      <c r="M13" s="85"/>
      <c r="N13" s="85"/>
      <c r="O13" s="85"/>
      <c r="P13" s="85"/>
      <c r="Q13" s="85"/>
      <c r="R13" s="85"/>
      <c r="S13" s="85"/>
      <c r="T13" s="85"/>
      <c r="U13" s="85"/>
      <c r="V13" s="85"/>
      <c r="W13" s="85"/>
      <c r="X13" s="85"/>
      <c r="Y13" s="85"/>
      <c r="Z13" s="85"/>
    </row>
    <row r="14" spans="1:26" ht="12.75" customHeight="1" x14ac:dyDescent="0.2">
      <c r="A14" s="85" t="s">
        <v>1954</v>
      </c>
      <c r="B14" s="85">
        <v>201</v>
      </c>
      <c r="C14" s="85" t="s">
        <v>1964</v>
      </c>
      <c r="D14" s="85">
        <v>11</v>
      </c>
      <c r="E14" s="85" t="s">
        <v>2583</v>
      </c>
      <c r="F14" s="86" t="s">
        <v>1951</v>
      </c>
      <c r="G14" s="85"/>
      <c r="H14" s="85"/>
      <c r="I14" s="85"/>
      <c r="J14" s="85"/>
      <c r="K14" s="85"/>
      <c r="L14" s="85"/>
      <c r="M14" s="85"/>
      <c r="N14" s="85"/>
      <c r="O14" s="85"/>
      <c r="P14" s="85"/>
      <c r="Q14" s="85"/>
      <c r="R14" s="85"/>
      <c r="S14" s="85"/>
      <c r="T14" s="85"/>
      <c r="U14" s="85"/>
      <c r="V14" s="85"/>
      <c r="W14" s="85"/>
      <c r="X14" s="85"/>
      <c r="Y14" s="85"/>
      <c r="Z14" s="85"/>
    </row>
    <row r="15" spans="1:26" ht="12.75" customHeight="1" x14ac:dyDescent="0.2">
      <c r="A15" s="85" t="s">
        <v>1954</v>
      </c>
      <c r="B15" s="85">
        <v>202</v>
      </c>
      <c r="C15" s="85" t="s">
        <v>1965</v>
      </c>
      <c r="D15" s="85">
        <v>11</v>
      </c>
      <c r="E15" s="85" t="s">
        <v>2584</v>
      </c>
      <c r="F15" s="86" t="s">
        <v>1951</v>
      </c>
      <c r="G15" s="85"/>
      <c r="H15" s="85"/>
      <c r="I15" s="85"/>
      <c r="J15" s="85"/>
      <c r="K15" s="85"/>
      <c r="L15" s="85"/>
      <c r="M15" s="85"/>
      <c r="N15" s="85"/>
      <c r="O15" s="85"/>
      <c r="P15" s="85"/>
      <c r="Q15" s="85"/>
      <c r="R15" s="85"/>
      <c r="S15" s="85"/>
      <c r="T15" s="85"/>
      <c r="U15" s="85"/>
      <c r="V15" s="85"/>
      <c r="W15" s="85"/>
      <c r="X15" s="85"/>
      <c r="Y15" s="85"/>
      <c r="Z15" s="85"/>
    </row>
    <row r="16" spans="1:26" ht="12.75" customHeight="1" x14ac:dyDescent="0.2">
      <c r="A16" s="85" t="s">
        <v>1954</v>
      </c>
      <c r="B16" s="85">
        <v>203</v>
      </c>
      <c r="C16" s="85" t="s">
        <v>1966</v>
      </c>
      <c r="D16" s="85">
        <v>22</v>
      </c>
      <c r="E16" s="85" t="s">
        <v>2585</v>
      </c>
      <c r="F16" s="86" t="s">
        <v>1951</v>
      </c>
      <c r="G16" s="85"/>
      <c r="H16" s="85"/>
      <c r="I16" s="85"/>
      <c r="J16" s="85"/>
      <c r="K16" s="85"/>
      <c r="L16" s="85"/>
      <c r="M16" s="85"/>
      <c r="N16" s="85"/>
      <c r="O16" s="85"/>
      <c r="P16" s="85"/>
      <c r="Q16" s="85"/>
      <c r="R16" s="85"/>
      <c r="S16" s="85"/>
      <c r="T16" s="85"/>
      <c r="U16" s="85"/>
      <c r="V16" s="85"/>
      <c r="W16" s="85"/>
      <c r="X16" s="85"/>
      <c r="Y16" s="85"/>
      <c r="Z16" s="85"/>
    </row>
    <row r="17" spans="1:26" ht="12.75" customHeight="1" x14ac:dyDescent="0.2">
      <c r="A17" s="85" t="s">
        <v>1954</v>
      </c>
      <c r="B17" s="85">
        <v>204</v>
      </c>
      <c r="C17" s="85" t="s">
        <v>1967</v>
      </c>
      <c r="D17" s="85">
        <v>22</v>
      </c>
      <c r="E17" s="85" t="s">
        <v>2586</v>
      </c>
      <c r="F17" s="86" t="s">
        <v>1951</v>
      </c>
      <c r="G17" s="85"/>
      <c r="H17" s="85"/>
      <c r="I17" s="85"/>
      <c r="J17" s="85"/>
      <c r="K17" s="85"/>
      <c r="L17" s="85"/>
      <c r="M17" s="85"/>
      <c r="N17" s="85"/>
      <c r="O17" s="85"/>
      <c r="P17" s="85"/>
      <c r="Q17" s="85"/>
      <c r="R17" s="85"/>
      <c r="S17" s="85"/>
      <c r="T17" s="85"/>
      <c r="U17" s="85"/>
      <c r="V17" s="85"/>
      <c r="W17" s="85"/>
      <c r="X17" s="85"/>
      <c r="Y17" s="85"/>
      <c r="Z17" s="85"/>
    </row>
    <row r="18" spans="1:26" ht="12.75" customHeight="1" x14ac:dyDescent="0.2">
      <c r="A18" s="85" t="s">
        <v>1954</v>
      </c>
      <c r="B18" s="85">
        <v>205</v>
      </c>
      <c r="C18" s="85" t="s">
        <v>1968</v>
      </c>
      <c r="D18" s="85">
        <v>22</v>
      </c>
      <c r="E18" s="85" t="s">
        <v>2587</v>
      </c>
      <c r="F18" s="86" t="s">
        <v>1951</v>
      </c>
      <c r="G18" s="85"/>
      <c r="H18" s="85"/>
      <c r="I18" s="85"/>
      <c r="J18" s="85"/>
      <c r="K18" s="85"/>
      <c r="L18" s="85"/>
      <c r="M18" s="85"/>
      <c r="N18" s="85"/>
      <c r="O18" s="85"/>
      <c r="P18" s="85"/>
      <c r="Q18" s="85"/>
      <c r="R18" s="85"/>
      <c r="S18" s="85"/>
      <c r="T18" s="85"/>
      <c r="U18" s="85"/>
      <c r="V18" s="85"/>
      <c r="W18" s="85"/>
      <c r="X18" s="85"/>
      <c r="Y18" s="85"/>
      <c r="Z18" s="85"/>
    </row>
    <row r="19" spans="1:26" ht="12.75" customHeight="1" x14ac:dyDescent="0.2">
      <c r="A19" s="85" t="s">
        <v>1954</v>
      </c>
      <c r="B19" s="85">
        <v>206</v>
      </c>
      <c r="C19" s="85" t="s">
        <v>1969</v>
      </c>
      <c r="D19" s="85">
        <v>33</v>
      </c>
      <c r="E19" s="85" t="s">
        <v>2588</v>
      </c>
      <c r="F19" s="86" t="s">
        <v>1951</v>
      </c>
      <c r="G19" s="85"/>
      <c r="H19" s="85"/>
      <c r="I19" s="85"/>
      <c r="J19" s="85"/>
      <c r="K19" s="85"/>
      <c r="L19" s="85"/>
      <c r="M19" s="85"/>
      <c r="N19" s="85"/>
      <c r="O19" s="85"/>
      <c r="P19" s="85"/>
      <c r="Q19" s="85"/>
      <c r="R19" s="85"/>
      <c r="S19" s="85"/>
      <c r="T19" s="85"/>
      <c r="U19" s="85"/>
      <c r="V19" s="85"/>
      <c r="W19" s="85"/>
      <c r="X19" s="85"/>
      <c r="Y19" s="85"/>
      <c r="Z19" s="85"/>
    </row>
    <row r="20" spans="1:26" ht="12.75" customHeight="1" x14ac:dyDescent="0.2">
      <c r="A20" s="85" t="s">
        <v>1954</v>
      </c>
      <c r="B20" s="85">
        <v>207</v>
      </c>
      <c r="C20" s="85" t="s">
        <v>1970</v>
      </c>
      <c r="D20" s="85">
        <v>33</v>
      </c>
      <c r="E20" s="85" t="s">
        <v>2589</v>
      </c>
      <c r="F20" s="86" t="s">
        <v>1951</v>
      </c>
      <c r="G20" s="85"/>
      <c r="H20" s="85"/>
      <c r="I20" s="85"/>
      <c r="J20" s="85"/>
      <c r="K20" s="85"/>
      <c r="L20" s="85"/>
      <c r="M20" s="85"/>
      <c r="N20" s="85"/>
      <c r="O20" s="85"/>
      <c r="P20" s="85"/>
      <c r="Q20" s="85"/>
      <c r="R20" s="85"/>
      <c r="S20" s="85"/>
      <c r="T20" s="85"/>
      <c r="U20" s="85"/>
      <c r="V20" s="85"/>
      <c r="W20" s="85"/>
      <c r="X20" s="85"/>
      <c r="Y20" s="85"/>
      <c r="Z20" s="85"/>
    </row>
    <row r="21" spans="1:26" ht="12.75" customHeight="1" x14ac:dyDescent="0.2">
      <c r="A21" s="85" t="s">
        <v>1954</v>
      </c>
      <c r="B21" s="85">
        <v>208</v>
      </c>
      <c r="C21" s="85" t="s">
        <v>1971</v>
      </c>
      <c r="D21" s="85">
        <v>22</v>
      </c>
      <c r="E21" s="85" t="s">
        <v>2590</v>
      </c>
      <c r="F21" s="86" t="s">
        <v>1951</v>
      </c>
      <c r="G21" s="85"/>
      <c r="H21" s="85"/>
      <c r="I21" s="85"/>
      <c r="J21" s="85"/>
      <c r="K21" s="85"/>
      <c r="L21" s="85"/>
      <c r="M21" s="85"/>
      <c r="N21" s="85"/>
      <c r="O21" s="85"/>
      <c r="P21" s="85"/>
      <c r="Q21" s="85"/>
      <c r="R21" s="85"/>
      <c r="S21" s="85"/>
      <c r="T21" s="85"/>
      <c r="U21" s="85"/>
      <c r="V21" s="85"/>
      <c r="W21" s="85"/>
      <c r="X21" s="85"/>
      <c r="Y21" s="85"/>
      <c r="Z21" s="85"/>
    </row>
    <row r="22" spans="1:26" ht="12.75" customHeight="1" x14ac:dyDescent="0.2">
      <c r="A22" s="85" t="s">
        <v>1972</v>
      </c>
      <c r="B22" s="85">
        <v>211126</v>
      </c>
      <c r="C22" s="85" t="s">
        <v>1973</v>
      </c>
      <c r="D22" s="85">
        <v>11</v>
      </c>
      <c r="E22" s="85" t="s">
        <v>1973</v>
      </c>
      <c r="F22" s="86" t="s">
        <v>1951</v>
      </c>
      <c r="G22" s="85"/>
      <c r="H22" s="85"/>
      <c r="I22" s="85"/>
      <c r="J22" s="85"/>
      <c r="K22" s="85"/>
      <c r="L22" s="85"/>
      <c r="M22" s="85"/>
      <c r="N22" s="85"/>
      <c r="O22" s="85"/>
      <c r="P22" s="85"/>
      <c r="Q22" s="85"/>
      <c r="R22" s="85"/>
      <c r="S22" s="85"/>
      <c r="T22" s="85"/>
      <c r="U22" s="85"/>
      <c r="V22" s="85"/>
      <c r="W22" s="85"/>
      <c r="X22" s="85"/>
      <c r="Y22" s="85"/>
      <c r="Z22" s="85"/>
    </row>
    <row r="23" spans="1:26" ht="12.75" customHeight="1" x14ac:dyDescent="0.2">
      <c r="A23" s="85" t="s">
        <v>1972</v>
      </c>
      <c r="B23" s="85">
        <v>204105</v>
      </c>
      <c r="C23" s="85" t="s">
        <v>1974</v>
      </c>
      <c r="D23" s="85">
        <v>12</v>
      </c>
      <c r="E23" s="85" t="s">
        <v>1974</v>
      </c>
      <c r="F23" s="86" t="s">
        <v>1951</v>
      </c>
      <c r="G23" s="85"/>
      <c r="H23" s="85"/>
      <c r="I23" s="85"/>
      <c r="J23" s="85"/>
      <c r="K23" s="85"/>
      <c r="L23" s="85"/>
      <c r="M23" s="85"/>
      <c r="N23" s="85"/>
      <c r="O23" s="85"/>
      <c r="P23" s="85"/>
      <c r="Q23" s="85"/>
      <c r="R23" s="85"/>
      <c r="S23" s="85"/>
      <c r="T23" s="85"/>
      <c r="U23" s="85"/>
      <c r="V23" s="85"/>
      <c r="W23" s="85"/>
      <c r="X23" s="85"/>
      <c r="Y23" s="85"/>
      <c r="Z23" s="85"/>
    </row>
    <row r="24" spans="1:26" ht="12.75" customHeight="1" x14ac:dyDescent="0.2">
      <c r="A24" s="85" t="s">
        <v>1972</v>
      </c>
      <c r="B24" s="85">
        <v>211127</v>
      </c>
      <c r="C24" s="85" t="s">
        <v>1975</v>
      </c>
      <c r="D24" s="85">
        <v>13</v>
      </c>
      <c r="E24" s="85" t="s">
        <v>1975</v>
      </c>
      <c r="F24" s="86" t="s">
        <v>1951</v>
      </c>
      <c r="G24" s="85"/>
      <c r="H24" s="85"/>
      <c r="I24" s="85"/>
      <c r="J24" s="85"/>
      <c r="K24" s="85"/>
      <c r="L24" s="85"/>
      <c r="M24" s="85"/>
      <c r="N24" s="85"/>
      <c r="O24" s="85"/>
      <c r="P24" s="85"/>
      <c r="Q24" s="85"/>
      <c r="R24" s="85"/>
      <c r="S24" s="85"/>
      <c r="T24" s="85"/>
      <c r="U24" s="85"/>
      <c r="V24" s="85"/>
      <c r="W24" s="85"/>
      <c r="X24" s="85"/>
      <c r="Y24" s="85"/>
      <c r="Z24" s="85"/>
    </row>
    <row r="25" spans="1:26" ht="12.75" customHeight="1" x14ac:dyDescent="0.2">
      <c r="A25" s="85" t="s">
        <v>1972</v>
      </c>
      <c r="B25" s="85">
        <v>107054</v>
      </c>
      <c r="C25" s="85" t="s">
        <v>1976</v>
      </c>
      <c r="D25" s="85">
        <v>14</v>
      </c>
      <c r="E25" s="85" t="s">
        <v>1976</v>
      </c>
      <c r="F25" s="86" t="s">
        <v>1951</v>
      </c>
      <c r="G25" s="85"/>
      <c r="H25" s="85"/>
      <c r="I25" s="85"/>
      <c r="J25" s="85"/>
      <c r="K25" s="85"/>
      <c r="L25" s="85"/>
      <c r="M25" s="85"/>
      <c r="N25" s="85"/>
      <c r="O25" s="85"/>
      <c r="P25" s="85"/>
      <c r="Q25" s="85"/>
      <c r="R25" s="85"/>
      <c r="S25" s="85"/>
      <c r="T25" s="85"/>
      <c r="U25" s="85"/>
      <c r="V25" s="85"/>
      <c r="W25" s="85"/>
      <c r="X25" s="85"/>
      <c r="Y25" s="85"/>
      <c r="Z25" s="85"/>
    </row>
    <row r="26" spans="1:26" ht="12.75" customHeight="1" x14ac:dyDescent="0.2">
      <c r="A26" s="85" t="s">
        <v>1972</v>
      </c>
      <c r="B26" s="85">
        <v>311257</v>
      </c>
      <c r="C26" s="85" t="s">
        <v>1977</v>
      </c>
      <c r="D26" s="85">
        <v>15</v>
      </c>
      <c r="E26" s="85" t="s">
        <v>1977</v>
      </c>
      <c r="F26" s="86" t="s">
        <v>1951</v>
      </c>
      <c r="G26" s="85"/>
      <c r="H26" s="85"/>
      <c r="I26" s="85"/>
      <c r="J26" s="85"/>
      <c r="K26" s="85"/>
      <c r="L26" s="85"/>
      <c r="M26" s="85"/>
      <c r="N26" s="85"/>
      <c r="O26" s="85"/>
      <c r="P26" s="85"/>
      <c r="Q26" s="85"/>
      <c r="R26" s="85"/>
      <c r="S26" s="85"/>
      <c r="T26" s="85"/>
      <c r="U26" s="85"/>
      <c r="V26" s="85"/>
      <c r="W26" s="85"/>
      <c r="X26" s="85"/>
      <c r="Y26" s="85"/>
      <c r="Z26" s="85"/>
    </row>
    <row r="27" spans="1:26" ht="12.75" customHeight="1" x14ac:dyDescent="0.2">
      <c r="A27" s="85" t="s">
        <v>1972</v>
      </c>
      <c r="B27" s="85">
        <v>101001</v>
      </c>
      <c r="C27" s="85" t="s">
        <v>1978</v>
      </c>
      <c r="D27" s="85">
        <v>16</v>
      </c>
      <c r="E27" s="85" t="s">
        <v>1978</v>
      </c>
      <c r="F27" s="86" t="s">
        <v>1951</v>
      </c>
      <c r="G27" s="85"/>
      <c r="H27" s="85"/>
      <c r="I27" s="85"/>
      <c r="J27" s="85"/>
      <c r="K27" s="85"/>
      <c r="L27" s="85"/>
      <c r="M27" s="85"/>
      <c r="N27" s="85"/>
      <c r="O27" s="85"/>
      <c r="P27" s="85"/>
      <c r="Q27" s="85"/>
      <c r="R27" s="85"/>
      <c r="S27" s="85"/>
      <c r="T27" s="85"/>
      <c r="U27" s="85"/>
      <c r="V27" s="85"/>
      <c r="W27" s="85"/>
      <c r="X27" s="85"/>
      <c r="Y27" s="85"/>
      <c r="Z27" s="85"/>
    </row>
    <row r="28" spans="1:26" ht="12.75" customHeight="1" x14ac:dyDescent="0.2">
      <c r="A28" s="85" t="s">
        <v>1972</v>
      </c>
      <c r="B28" s="85">
        <v>102011</v>
      </c>
      <c r="C28" s="85" t="s">
        <v>1979</v>
      </c>
      <c r="D28" s="85">
        <v>17</v>
      </c>
      <c r="E28" s="85" t="s">
        <v>1979</v>
      </c>
      <c r="F28" s="86" t="s">
        <v>1951</v>
      </c>
      <c r="G28" s="85"/>
      <c r="H28" s="85"/>
      <c r="I28" s="85"/>
      <c r="J28" s="85"/>
      <c r="K28" s="85"/>
      <c r="L28" s="85"/>
      <c r="M28" s="85"/>
      <c r="N28" s="85"/>
      <c r="O28" s="85"/>
      <c r="P28" s="85"/>
      <c r="Q28" s="85"/>
      <c r="R28" s="85"/>
      <c r="S28" s="85"/>
      <c r="T28" s="85"/>
      <c r="U28" s="85"/>
      <c r="V28" s="85"/>
      <c r="W28" s="85"/>
      <c r="X28" s="85"/>
      <c r="Y28" s="85"/>
      <c r="Z28" s="85"/>
    </row>
    <row r="29" spans="1:26" ht="12.75" customHeight="1" x14ac:dyDescent="0.2">
      <c r="A29" s="85" t="s">
        <v>1972</v>
      </c>
      <c r="B29" s="85">
        <v>206115</v>
      </c>
      <c r="C29" s="85" t="s">
        <v>1980</v>
      </c>
      <c r="D29" s="85">
        <v>18</v>
      </c>
      <c r="E29" s="85" t="s">
        <v>1980</v>
      </c>
      <c r="F29" s="86" t="s">
        <v>1951</v>
      </c>
      <c r="G29" s="85"/>
      <c r="H29" s="85"/>
      <c r="I29" s="85"/>
      <c r="J29" s="85"/>
      <c r="K29" s="85"/>
      <c r="L29" s="85"/>
      <c r="M29" s="85"/>
      <c r="N29" s="85"/>
      <c r="O29" s="85"/>
      <c r="P29" s="85"/>
      <c r="Q29" s="85"/>
      <c r="R29" s="85"/>
      <c r="S29" s="85"/>
      <c r="T29" s="85"/>
      <c r="U29" s="85"/>
      <c r="V29" s="85"/>
      <c r="W29" s="85"/>
      <c r="X29" s="85"/>
      <c r="Y29" s="85"/>
      <c r="Z29" s="85"/>
    </row>
    <row r="30" spans="1:26" ht="12.75" customHeight="1" x14ac:dyDescent="0.2">
      <c r="A30" s="85" t="s">
        <v>1972</v>
      </c>
      <c r="B30" s="85">
        <v>213140</v>
      </c>
      <c r="C30" s="85" t="s">
        <v>1981</v>
      </c>
      <c r="D30" s="85">
        <v>115</v>
      </c>
      <c r="E30" s="85" t="s">
        <v>1981</v>
      </c>
      <c r="F30" s="86" t="s">
        <v>1951</v>
      </c>
      <c r="G30" s="85"/>
      <c r="H30" s="85"/>
      <c r="I30" s="85"/>
      <c r="J30" s="85"/>
      <c r="K30" s="85"/>
      <c r="L30" s="85"/>
      <c r="M30" s="85"/>
      <c r="N30" s="85"/>
      <c r="O30" s="85"/>
      <c r="P30" s="85"/>
      <c r="Q30" s="85"/>
      <c r="R30" s="85"/>
      <c r="S30" s="85"/>
      <c r="T30" s="85"/>
      <c r="U30" s="85"/>
      <c r="V30" s="85"/>
      <c r="W30" s="85"/>
      <c r="X30" s="85"/>
      <c r="Y30" s="85"/>
      <c r="Z30" s="85"/>
    </row>
    <row r="31" spans="1:26" ht="12.75" customHeight="1" x14ac:dyDescent="0.2">
      <c r="A31" s="85" t="s">
        <v>1972</v>
      </c>
      <c r="B31" s="85">
        <v>209121</v>
      </c>
      <c r="C31" s="85" t="s">
        <v>1982</v>
      </c>
      <c r="D31" s="85">
        <v>201</v>
      </c>
      <c r="E31" s="85" t="s">
        <v>1982</v>
      </c>
      <c r="F31" s="86" t="s">
        <v>1951</v>
      </c>
      <c r="G31" s="85"/>
      <c r="H31" s="85"/>
      <c r="I31" s="85"/>
      <c r="J31" s="85"/>
      <c r="K31" s="85"/>
      <c r="L31" s="85"/>
      <c r="M31" s="85"/>
      <c r="N31" s="85"/>
      <c r="O31" s="85"/>
      <c r="P31" s="85"/>
      <c r="Q31" s="85"/>
      <c r="R31" s="85"/>
      <c r="S31" s="85"/>
      <c r="T31" s="85"/>
      <c r="U31" s="85"/>
      <c r="V31" s="85"/>
      <c r="W31" s="85"/>
      <c r="X31" s="85"/>
      <c r="Y31" s="85"/>
      <c r="Z31" s="85"/>
    </row>
    <row r="32" spans="1:26" ht="12.75" customHeight="1" x14ac:dyDescent="0.2">
      <c r="A32" s="85" t="s">
        <v>1972</v>
      </c>
      <c r="B32" s="85">
        <v>217145</v>
      </c>
      <c r="C32" s="85" t="s">
        <v>1983</v>
      </c>
      <c r="D32" s="85">
        <v>202</v>
      </c>
      <c r="E32" s="85" t="s">
        <v>1983</v>
      </c>
      <c r="F32" s="86" t="s">
        <v>1951</v>
      </c>
      <c r="G32" s="85"/>
      <c r="H32" s="85"/>
      <c r="I32" s="85"/>
      <c r="J32" s="85"/>
      <c r="K32" s="85"/>
      <c r="L32" s="85"/>
      <c r="M32" s="85"/>
      <c r="N32" s="85"/>
      <c r="O32" s="85"/>
      <c r="P32" s="85"/>
      <c r="Q32" s="85"/>
      <c r="R32" s="85"/>
      <c r="S32" s="85"/>
      <c r="T32" s="85"/>
      <c r="U32" s="85"/>
      <c r="V32" s="85"/>
      <c r="W32" s="85"/>
      <c r="X32" s="85"/>
      <c r="Y32" s="85"/>
      <c r="Z32" s="85"/>
    </row>
    <row r="33" spans="1:26" ht="12.75" customHeight="1" x14ac:dyDescent="0.2">
      <c r="A33" s="85" t="s">
        <v>1972</v>
      </c>
      <c r="B33" s="85">
        <v>102012</v>
      </c>
      <c r="C33" s="85" t="s">
        <v>1984</v>
      </c>
      <c r="D33" s="85">
        <v>203</v>
      </c>
      <c r="E33" s="85" t="s">
        <v>1984</v>
      </c>
      <c r="F33" s="86" t="s">
        <v>1951</v>
      </c>
      <c r="G33" s="85"/>
      <c r="H33" s="85"/>
      <c r="I33" s="85"/>
      <c r="J33" s="85"/>
      <c r="K33" s="85"/>
      <c r="L33" s="85"/>
      <c r="M33" s="85"/>
      <c r="N33" s="85"/>
      <c r="O33" s="85"/>
      <c r="P33" s="85"/>
      <c r="Q33" s="85"/>
      <c r="R33" s="85"/>
      <c r="S33" s="85"/>
      <c r="T33" s="85"/>
      <c r="U33" s="85"/>
      <c r="V33" s="85"/>
      <c r="W33" s="85"/>
      <c r="X33" s="85"/>
      <c r="Y33" s="85"/>
      <c r="Z33" s="85"/>
    </row>
    <row r="34" spans="1:26" ht="12.75" customHeight="1" x14ac:dyDescent="0.2">
      <c r="A34" s="85" t="s">
        <v>1972</v>
      </c>
      <c r="B34" s="85">
        <v>204106</v>
      </c>
      <c r="C34" s="85" t="s">
        <v>1985</v>
      </c>
      <c r="D34" s="85">
        <v>204</v>
      </c>
      <c r="E34" s="85" t="s">
        <v>1985</v>
      </c>
      <c r="F34" s="86" t="s">
        <v>1951</v>
      </c>
      <c r="G34" s="85"/>
      <c r="H34" s="85"/>
      <c r="I34" s="85"/>
      <c r="J34" s="85"/>
      <c r="K34" s="85"/>
      <c r="L34" s="85"/>
      <c r="M34" s="85"/>
      <c r="N34" s="85"/>
      <c r="O34" s="85"/>
      <c r="P34" s="85"/>
      <c r="Q34" s="85"/>
      <c r="R34" s="85"/>
      <c r="S34" s="85"/>
      <c r="T34" s="85"/>
      <c r="U34" s="85"/>
      <c r="V34" s="85"/>
      <c r="W34" s="85"/>
      <c r="X34" s="85"/>
      <c r="Y34" s="85"/>
      <c r="Z34" s="85"/>
    </row>
    <row r="35" spans="1:26" ht="12.75" customHeight="1" x14ac:dyDescent="0.2">
      <c r="A35" s="85" t="s">
        <v>1972</v>
      </c>
      <c r="B35" s="85">
        <v>211129</v>
      </c>
      <c r="C35" s="85" t="s">
        <v>1986</v>
      </c>
      <c r="D35" s="85">
        <v>205</v>
      </c>
      <c r="E35" s="85" t="s">
        <v>1986</v>
      </c>
      <c r="F35" s="86" t="s">
        <v>1951</v>
      </c>
      <c r="G35" s="85"/>
      <c r="H35" s="85"/>
      <c r="I35" s="85"/>
      <c r="J35" s="85"/>
      <c r="K35" s="85"/>
      <c r="L35" s="85"/>
      <c r="M35" s="85"/>
      <c r="N35" s="85"/>
      <c r="O35" s="85"/>
      <c r="P35" s="85"/>
      <c r="Q35" s="85"/>
      <c r="R35" s="85"/>
      <c r="S35" s="85"/>
      <c r="T35" s="85"/>
      <c r="U35" s="85"/>
      <c r="V35" s="85"/>
      <c r="W35" s="85"/>
      <c r="X35" s="85"/>
      <c r="Y35" s="85"/>
      <c r="Z35" s="85"/>
    </row>
    <row r="36" spans="1:26" ht="12.75" customHeight="1" x14ac:dyDescent="0.2">
      <c r="A36" s="85" t="s">
        <v>1972</v>
      </c>
      <c r="B36" s="85">
        <v>218155</v>
      </c>
      <c r="C36" s="85" t="s">
        <v>1987</v>
      </c>
      <c r="D36" s="85">
        <v>206</v>
      </c>
      <c r="E36" s="85" t="s">
        <v>1987</v>
      </c>
      <c r="F36" s="86" t="s">
        <v>1951</v>
      </c>
      <c r="G36" s="85"/>
      <c r="H36" s="85"/>
      <c r="I36" s="85"/>
      <c r="J36" s="85"/>
      <c r="K36" s="85"/>
      <c r="L36" s="85"/>
      <c r="M36" s="85"/>
      <c r="N36" s="85"/>
      <c r="O36" s="85"/>
      <c r="P36" s="85"/>
      <c r="Q36" s="85"/>
      <c r="R36" s="85"/>
      <c r="S36" s="85"/>
      <c r="T36" s="85"/>
      <c r="U36" s="85"/>
      <c r="V36" s="85"/>
      <c r="W36" s="85"/>
      <c r="X36" s="85"/>
      <c r="Y36" s="85"/>
      <c r="Z36" s="85"/>
    </row>
    <row r="37" spans="1:26" ht="12.75" customHeight="1" x14ac:dyDescent="0.2">
      <c r="A37" s="85" t="s">
        <v>1972</v>
      </c>
      <c r="B37" s="85">
        <v>204107</v>
      </c>
      <c r="C37" s="85" t="s">
        <v>1988</v>
      </c>
      <c r="D37" s="85">
        <v>207</v>
      </c>
      <c r="E37" s="85" t="s">
        <v>1988</v>
      </c>
      <c r="F37" s="86" t="s">
        <v>1951</v>
      </c>
      <c r="G37" s="85"/>
      <c r="H37" s="85"/>
      <c r="I37" s="85"/>
      <c r="J37" s="85"/>
      <c r="K37" s="85"/>
      <c r="L37" s="85"/>
      <c r="M37" s="85"/>
      <c r="N37" s="85"/>
      <c r="O37" s="85"/>
      <c r="P37" s="85"/>
      <c r="Q37" s="85"/>
      <c r="R37" s="85"/>
      <c r="S37" s="85"/>
      <c r="T37" s="85"/>
      <c r="U37" s="85"/>
      <c r="V37" s="85"/>
      <c r="W37" s="85"/>
      <c r="X37" s="85"/>
      <c r="Y37" s="85"/>
      <c r="Z37" s="85"/>
    </row>
    <row r="38" spans="1:26" ht="12.75" customHeight="1" x14ac:dyDescent="0.2">
      <c r="A38" s="85" t="s">
        <v>1972</v>
      </c>
      <c r="B38" s="85">
        <v>211130</v>
      </c>
      <c r="C38" s="85" t="s">
        <v>1989</v>
      </c>
      <c r="D38" s="85">
        <v>208</v>
      </c>
      <c r="E38" s="85" t="s">
        <v>1989</v>
      </c>
      <c r="F38" s="86" t="s">
        <v>1951</v>
      </c>
      <c r="G38" s="85"/>
      <c r="H38" s="85"/>
      <c r="I38" s="85"/>
      <c r="J38" s="85"/>
      <c r="K38" s="85"/>
      <c r="L38" s="85"/>
      <c r="M38" s="85"/>
      <c r="N38" s="85"/>
      <c r="O38" s="85"/>
      <c r="P38" s="85"/>
      <c r="Q38" s="85"/>
      <c r="R38" s="85"/>
      <c r="S38" s="85"/>
      <c r="T38" s="85"/>
      <c r="U38" s="85"/>
      <c r="V38" s="85"/>
      <c r="W38" s="85"/>
      <c r="X38" s="85"/>
      <c r="Y38" s="85"/>
      <c r="Z38" s="85"/>
    </row>
    <row r="39" spans="1:26" ht="12.75" customHeight="1" x14ac:dyDescent="0.2">
      <c r="A39" s="85" t="s">
        <v>1972</v>
      </c>
      <c r="B39" s="85">
        <v>221166</v>
      </c>
      <c r="C39" s="85" t="s">
        <v>1990</v>
      </c>
      <c r="D39" s="85">
        <v>11</v>
      </c>
      <c r="E39" s="85" t="s">
        <v>1990</v>
      </c>
      <c r="F39" s="86" t="s">
        <v>1951</v>
      </c>
      <c r="G39" s="85"/>
      <c r="H39" s="85"/>
      <c r="I39" s="85"/>
      <c r="J39" s="85"/>
      <c r="K39" s="85"/>
      <c r="L39" s="85"/>
      <c r="M39" s="85"/>
      <c r="N39" s="85"/>
      <c r="O39" s="85"/>
      <c r="P39" s="85"/>
      <c r="Q39" s="85"/>
      <c r="R39" s="85"/>
      <c r="S39" s="85"/>
      <c r="T39" s="85"/>
      <c r="U39" s="85"/>
      <c r="V39" s="85"/>
      <c r="W39" s="85"/>
      <c r="X39" s="85"/>
      <c r="Y39" s="85"/>
      <c r="Z39" s="85"/>
    </row>
    <row r="40" spans="1:26" ht="12.75" customHeight="1" x14ac:dyDescent="0.2">
      <c r="A40" s="85" t="s">
        <v>1972</v>
      </c>
      <c r="B40" s="85">
        <v>217146</v>
      </c>
      <c r="C40" s="85" t="s">
        <v>1991</v>
      </c>
      <c r="D40" s="85">
        <v>12</v>
      </c>
      <c r="E40" s="85" t="s">
        <v>1991</v>
      </c>
      <c r="F40" s="86" t="s">
        <v>1951</v>
      </c>
      <c r="G40" s="85"/>
      <c r="H40" s="85"/>
      <c r="I40" s="85"/>
      <c r="J40" s="85"/>
      <c r="K40" s="85"/>
      <c r="L40" s="85"/>
      <c r="M40" s="85"/>
      <c r="N40" s="85"/>
      <c r="O40" s="85"/>
      <c r="P40" s="85"/>
      <c r="Q40" s="85"/>
      <c r="R40" s="85"/>
      <c r="S40" s="85"/>
      <c r="T40" s="85"/>
      <c r="U40" s="85"/>
      <c r="V40" s="85"/>
      <c r="W40" s="85"/>
      <c r="X40" s="85"/>
      <c r="Y40" s="85"/>
      <c r="Z40" s="85"/>
    </row>
    <row r="41" spans="1:26" ht="12.75" customHeight="1" x14ac:dyDescent="0.2">
      <c r="A41" s="85" t="s">
        <v>1972</v>
      </c>
      <c r="B41" s="85">
        <v>217147</v>
      </c>
      <c r="C41" s="85" t="s">
        <v>1992</v>
      </c>
      <c r="D41" s="85">
        <v>13</v>
      </c>
      <c r="E41" s="85" t="s">
        <v>1992</v>
      </c>
      <c r="F41" s="86" t="s">
        <v>1951</v>
      </c>
      <c r="G41" s="85"/>
      <c r="H41" s="85"/>
      <c r="I41" s="85"/>
      <c r="J41" s="85"/>
      <c r="K41" s="85"/>
      <c r="L41" s="85"/>
      <c r="M41" s="85"/>
      <c r="N41" s="85"/>
      <c r="O41" s="85"/>
      <c r="P41" s="85"/>
      <c r="Q41" s="85"/>
      <c r="R41" s="85"/>
      <c r="S41" s="85"/>
      <c r="T41" s="85"/>
      <c r="U41" s="85"/>
      <c r="V41" s="85"/>
      <c r="W41" s="85"/>
      <c r="X41" s="85"/>
      <c r="Y41" s="85"/>
      <c r="Z41" s="85"/>
    </row>
    <row r="42" spans="1:26" ht="12.75" customHeight="1" x14ac:dyDescent="0.2">
      <c r="A42" s="85" t="s">
        <v>1972</v>
      </c>
      <c r="B42" s="85">
        <v>104037</v>
      </c>
      <c r="C42" s="85" t="s">
        <v>1993</v>
      </c>
      <c r="D42" s="85">
        <v>14</v>
      </c>
      <c r="E42" s="85" t="s">
        <v>1993</v>
      </c>
      <c r="F42" s="86" t="s">
        <v>1951</v>
      </c>
      <c r="G42" s="85"/>
      <c r="H42" s="85"/>
      <c r="I42" s="85"/>
      <c r="J42" s="85"/>
      <c r="K42" s="85"/>
      <c r="L42" s="85"/>
      <c r="M42" s="85"/>
      <c r="N42" s="85"/>
      <c r="O42" s="85"/>
      <c r="P42" s="85"/>
      <c r="Q42" s="85"/>
      <c r="R42" s="85"/>
      <c r="S42" s="85"/>
      <c r="T42" s="85"/>
      <c r="U42" s="85"/>
      <c r="V42" s="85"/>
      <c r="W42" s="85"/>
      <c r="X42" s="85"/>
      <c r="Y42" s="85"/>
      <c r="Z42" s="85"/>
    </row>
    <row r="43" spans="1:26" ht="12.75" customHeight="1" x14ac:dyDescent="0.2">
      <c r="A43" s="85" t="s">
        <v>1972</v>
      </c>
      <c r="B43" s="85">
        <v>103022</v>
      </c>
      <c r="C43" s="85" t="s">
        <v>1994</v>
      </c>
      <c r="D43" s="85">
        <v>15</v>
      </c>
      <c r="E43" s="85" t="s">
        <v>1994</v>
      </c>
      <c r="F43" s="86" t="s">
        <v>1951</v>
      </c>
      <c r="G43" s="85"/>
      <c r="H43" s="85"/>
      <c r="I43" s="85"/>
      <c r="J43" s="85"/>
      <c r="K43" s="85"/>
      <c r="L43" s="85"/>
      <c r="M43" s="85"/>
      <c r="N43" s="85"/>
      <c r="O43" s="85"/>
      <c r="P43" s="85"/>
      <c r="Q43" s="85"/>
      <c r="R43" s="85"/>
      <c r="S43" s="85"/>
      <c r="T43" s="85"/>
      <c r="U43" s="85"/>
      <c r="V43" s="85"/>
      <c r="W43" s="85"/>
      <c r="X43" s="85"/>
      <c r="Y43" s="85"/>
      <c r="Z43" s="85"/>
    </row>
    <row r="44" spans="1:26" ht="12.75" customHeight="1" x14ac:dyDescent="0.2">
      <c r="A44" s="85" t="s">
        <v>1972</v>
      </c>
      <c r="B44" s="85">
        <v>316267</v>
      </c>
      <c r="C44" s="85" t="s">
        <v>1995</v>
      </c>
      <c r="D44" s="85">
        <v>16</v>
      </c>
      <c r="E44" s="85" t="s">
        <v>1995</v>
      </c>
      <c r="F44" s="86" t="s">
        <v>1951</v>
      </c>
      <c r="G44" s="85"/>
      <c r="H44" s="85"/>
      <c r="I44" s="85"/>
      <c r="J44" s="85"/>
      <c r="K44" s="85"/>
      <c r="L44" s="85"/>
      <c r="M44" s="85"/>
      <c r="N44" s="85"/>
      <c r="O44" s="85"/>
      <c r="P44" s="85"/>
      <c r="Q44" s="85"/>
      <c r="R44" s="85"/>
      <c r="S44" s="85"/>
      <c r="T44" s="85"/>
      <c r="U44" s="85"/>
      <c r="V44" s="85"/>
      <c r="W44" s="85"/>
      <c r="X44" s="85"/>
      <c r="Y44" s="85"/>
      <c r="Z44" s="85"/>
    </row>
    <row r="45" spans="1:26" ht="12.75" customHeight="1" x14ac:dyDescent="0.2">
      <c r="A45" s="85" t="s">
        <v>1972</v>
      </c>
      <c r="B45" s="85">
        <v>315266</v>
      </c>
      <c r="C45" s="85" t="s">
        <v>1996</v>
      </c>
      <c r="D45" s="85">
        <v>17</v>
      </c>
      <c r="E45" s="85" t="s">
        <v>1996</v>
      </c>
      <c r="F45" s="86" t="s">
        <v>1951</v>
      </c>
      <c r="G45" s="85"/>
      <c r="H45" s="85"/>
      <c r="I45" s="85"/>
      <c r="J45" s="85"/>
      <c r="K45" s="85"/>
      <c r="L45" s="85"/>
      <c r="M45" s="85"/>
      <c r="N45" s="85"/>
      <c r="O45" s="85"/>
      <c r="P45" s="85"/>
      <c r="Q45" s="85"/>
      <c r="R45" s="85"/>
      <c r="S45" s="85"/>
      <c r="T45" s="85"/>
      <c r="U45" s="85"/>
      <c r="V45" s="85"/>
      <c r="W45" s="85"/>
      <c r="X45" s="85"/>
      <c r="Y45" s="85"/>
      <c r="Z45" s="85"/>
    </row>
    <row r="46" spans="1:26" ht="12.75" customHeight="1" x14ac:dyDescent="0.2">
      <c r="A46" s="85" t="s">
        <v>1972</v>
      </c>
      <c r="B46" s="85">
        <v>225175</v>
      </c>
      <c r="C46" s="85" t="s">
        <v>1997</v>
      </c>
      <c r="D46" s="85">
        <v>18</v>
      </c>
      <c r="E46" s="85" t="s">
        <v>1997</v>
      </c>
      <c r="F46" s="86" t="s">
        <v>1951</v>
      </c>
      <c r="G46" s="85"/>
      <c r="H46" s="85"/>
      <c r="I46" s="85"/>
      <c r="J46" s="85"/>
      <c r="K46" s="85"/>
      <c r="L46" s="85"/>
      <c r="M46" s="85"/>
      <c r="N46" s="85"/>
      <c r="O46" s="85"/>
      <c r="P46" s="85"/>
      <c r="Q46" s="85"/>
      <c r="R46" s="85"/>
      <c r="S46" s="85"/>
      <c r="T46" s="85"/>
      <c r="U46" s="85"/>
      <c r="V46" s="85"/>
      <c r="W46" s="85"/>
      <c r="X46" s="85"/>
      <c r="Y46" s="85"/>
      <c r="Z46" s="85"/>
    </row>
    <row r="47" spans="1:26" ht="12.75" customHeight="1" x14ac:dyDescent="0.2">
      <c r="A47" s="85" t="s">
        <v>1972</v>
      </c>
      <c r="B47" s="85">
        <v>101002</v>
      </c>
      <c r="C47" s="85" t="s">
        <v>1998</v>
      </c>
      <c r="D47" s="85">
        <v>115</v>
      </c>
      <c r="E47" s="85" t="s">
        <v>1998</v>
      </c>
      <c r="F47" s="86" t="s">
        <v>1951</v>
      </c>
      <c r="G47" s="85"/>
      <c r="H47" s="85"/>
      <c r="I47" s="85"/>
      <c r="J47" s="85"/>
      <c r="K47" s="85"/>
      <c r="L47" s="85"/>
      <c r="M47" s="85"/>
      <c r="N47" s="85"/>
      <c r="O47" s="85"/>
      <c r="P47" s="85"/>
      <c r="Q47" s="85"/>
      <c r="R47" s="85"/>
      <c r="S47" s="85"/>
      <c r="T47" s="85"/>
      <c r="U47" s="85"/>
      <c r="V47" s="85"/>
      <c r="W47" s="85"/>
      <c r="X47" s="85"/>
      <c r="Y47" s="85"/>
      <c r="Z47" s="85"/>
    </row>
    <row r="48" spans="1:26" ht="12.75" customHeight="1" x14ac:dyDescent="0.2">
      <c r="A48" s="85" t="s">
        <v>1972</v>
      </c>
      <c r="B48" s="85">
        <v>311259</v>
      </c>
      <c r="C48" s="85" t="s">
        <v>1999</v>
      </c>
      <c r="D48" s="85">
        <v>201</v>
      </c>
      <c r="E48" s="85" t="s">
        <v>1999</v>
      </c>
      <c r="F48" s="86" t="s">
        <v>1951</v>
      </c>
      <c r="G48" s="85"/>
      <c r="H48" s="85"/>
      <c r="I48" s="85"/>
      <c r="J48" s="85"/>
      <c r="K48" s="85"/>
      <c r="L48" s="85"/>
      <c r="M48" s="85"/>
      <c r="N48" s="85"/>
      <c r="O48" s="85"/>
      <c r="P48" s="85"/>
      <c r="Q48" s="85"/>
      <c r="R48" s="85"/>
      <c r="S48" s="85"/>
      <c r="T48" s="85"/>
      <c r="U48" s="85"/>
      <c r="V48" s="85"/>
      <c r="W48" s="85"/>
      <c r="X48" s="85"/>
      <c r="Y48" s="85"/>
      <c r="Z48" s="85"/>
    </row>
    <row r="49" spans="1:26" ht="12.75" customHeight="1" x14ac:dyDescent="0.2">
      <c r="A49" s="85" t="s">
        <v>1972</v>
      </c>
      <c r="B49" s="85">
        <v>113079</v>
      </c>
      <c r="C49" s="85" t="s">
        <v>2000</v>
      </c>
      <c r="D49" s="85">
        <v>202</v>
      </c>
      <c r="E49" s="85" t="s">
        <v>2000</v>
      </c>
      <c r="F49" s="86" t="s">
        <v>1951</v>
      </c>
      <c r="G49" s="85"/>
      <c r="H49" s="85"/>
      <c r="I49" s="85"/>
      <c r="J49" s="85"/>
      <c r="K49" s="85"/>
      <c r="L49" s="85"/>
      <c r="M49" s="85"/>
      <c r="N49" s="85"/>
      <c r="O49" s="85"/>
      <c r="P49" s="85"/>
      <c r="Q49" s="85"/>
      <c r="R49" s="85"/>
      <c r="S49" s="85"/>
      <c r="T49" s="85"/>
      <c r="U49" s="85"/>
      <c r="V49" s="85"/>
      <c r="W49" s="85"/>
      <c r="X49" s="85"/>
      <c r="Y49" s="85"/>
      <c r="Z49" s="85"/>
    </row>
    <row r="50" spans="1:26" ht="12.75" customHeight="1" x14ac:dyDescent="0.2">
      <c r="A50" s="85" t="s">
        <v>1972</v>
      </c>
      <c r="B50" s="85">
        <v>308242</v>
      </c>
      <c r="C50" s="85" t="s">
        <v>2001</v>
      </c>
      <c r="D50" s="85">
        <v>203</v>
      </c>
      <c r="E50" s="85" t="s">
        <v>2001</v>
      </c>
      <c r="F50" s="86" t="s">
        <v>1951</v>
      </c>
      <c r="G50" s="85"/>
      <c r="H50" s="85"/>
      <c r="I50" s="85"/>
      <c r="J50" s="85"/>
      <c r="K50" s="85"/>
      <c r="L50" s="85"/>
      <c r="M50" s="85"/>
      <c r="N50" s="85"/>
      <c r="O50" s="85"/>
      <c r="P50" s="85"/>
      <c r="Q50" s="85"/>
      <c r="R50" s="85"/>
      <c r="S50" s="85"/>
      <c r="T50" s="85"/>
      <c r="U50" s="85"/>
      <c r="V50" s="85"/>
      <c r="W50" s="85"/>
      <c r="X50" s="85"/>
      <c r="Y50" s="85"/>
      <c r="Z50" s="85"/>
    </row>
    <row r="51" spans="1:26" ht="12.75" customHeight="1" x14ac:dyDescent="0.2">
      <c r="A51" s="85" t="s">
        <v>1972</v>
      </c>
      <c r="B51" s="85">
        <v>206116</v>
      </c>
      <c r="C51" s="85" t="s">
        <v>2002</v>
      </c>
      <c r="D51" s="85">
        <v>204</v>
      </c>
      <c r="E51" s="85" t="s">
        <v>2002</v>
      </c>
      <c r="F51" s="86" t="s">
        <v>1951</v>
      </c>
      <c r="G51" s="85"/>
      <c r="H51" s="85"/>
      <c r="I51" s="85"/>
      <c r="J51" s="85"/>
      <c r="K51" s="85"/>
      <c r="L51" s="85"/>
      <c r="M51" s="85"/>
      <c r="N51" s="85"/>
      <c r="O51" s="85"/>
      <c r="P51" s="85"/>
      <c r="Q51" s="85"/>
      <c r="R51" s="85"/>
      <c r="S51" s="85"/>
      <c r="T51" s="85"/>
      <c r="U51" s="85"/>
      <c r="V51" s="85"/>
      <c r="W51" s="85"/>
      <c r="X51" s="85"/>
      <c r="Y51" s="85"/>
      <c r="Z51" s="85"/>
    </row>
    <row r="52" spans="1:26" ht="12.75" customHeight="1" x14ac:dyDescent="0.2">
      <c r="A52" s="85" t="s">
        <v>1972</v>
      </c>
      <c r="B52" s="85">
        <v>317268</v>
      </c>
      <c r="C52" s="85" t="s">
        <v>2003</v>
      </c>
      <c r="D52" s="85">
        <v>205</v>
      </c>
      <c r="E52" s="85" t="s">
        <v>2003</v>
      </c>
      <c r="F52" s="86" t="s">
        <v>1951</v>
      </c>
      <c r="G52" s="85"/>
      <c r="H52" s="85"/>
      <c r="I52" s="85"/>
      <c r="J52" s="85"/>
      <c r="K52" s="85"/>
      <c r="L52" s="85"/>
      <c r="M52" s="85"/>
      <c r="N52" s="85"/>
      <c r="O52" s="85"/>
      <c r="P52" s="85"/>
      <c r="Q52" s="85"/>
      <c r="R52" s="85"/>
      <c r="S52" s="85"/>
      <c r="T52" s="85"/>
      <c r="U52" s="85"/>
      <c r="V52" s="85"/>
      <c r="W52" s="85"/>
      <c r="X52" s="85"/>
      <c r="Y52" s="85"/>
      <c r="Z52" s="85"/>
    </row>
    <row r="53" spans="1:26" ht="12.75" customHeight="1" x14ac:dyDescent="0.2">
      <c r="A53" s="85" t="s">
        <v>1972</v>
      </c>
      <c r="B53" s="85">
        <v>217148</v>
      </c>
      <c r="C53" s="85" t="s">
        <v>2004</v>
      </c>
      <c r="D53" s="85">
        <v>206</v>
      </c>
      <c r="E53" s="85" t="s">
        <v>2004</v>
      </c>
      <c r="F53" s="86" t="s">
        <v>1951</v>
      </c>
      <c r="G53" s="85"/>
      <c r="H53" s="85"/>
      <c r="I53" s="85"/>
      <c r="J53" s="85"/>
      <c r="K53" s="85"/>
      <c r="L53" s="85"/>
      <c r="M53" s="85"/>
      <c r="N53" s="85"/>
      <c r="O53" s="85"/>
      <c r="P53" s="85"/>
      <c r="Q53" s="85"/>
      <c r="R53" s="85"/>
      <c r="S53" s="85"/>
      <c r="T53" s="85"/>
      <c r="U53" s="85"/>
      <c r="V53" s="85"/>
      <c r="W53" s="85"/>
      <c r="X53" s="85"/>
      <c r="Y53" s="85"/>
      <c r="Z53" s="85"/>
    </row>
    <row r="54" spans="1:26" ht="12.75" customHeight="1" x14ac:dyDescent="0.2">
      <c r="A54" s="85" t="s">
        <v>1972</v>
      </c>
      <c r="B54" s="85">
        <v>215142</v>
      </c>
      <c r="C54" s="85" t="s">
        <v>2005</v>
      </c>
      <c r="D54" s="85">
        <v>207</v>
      </c>
      <c r="E54" s="85" t="s">
        <v>2005</v>
      </c>
      <c r="F54" s="86" t="s">
        <v>1951</v>
      </c>
      <c r="G54" s="85"/>
      <c r="H54" s="85"/>
      <c r="I54" s="85"/>
      <c r="J54" s="85"/>
      <c r="K54" s="85"/>
      <c r="L54" s="85"/>
      <c r="M54" s="85"/>
      <c r="N54" s="85"/>
      <c r="O54" s="85"/>
      <c r="P54" s="85"/>
      <c r="Q54" s="85"/>
      <c r="R54" s="85"/>
      <c r="S54" s="85"/>
      <c r="T54" s="85"/>
      <c r="U54" s="85"/>
      <c r="V54" s="85"/>
      <c r="W54" s="85"/>
      <c r="X54" s="85"/>
      <c r="Y54" s="85"/>
      <c r="Z54" s="85"/>
    </row>
    <row r="55" spans="1:26" ht="12.75" customHeight="1" x14ac:dyDescent="0.2">
      <c r="A55" s="6" t="s">
        <v>2006</v>
      </c>
      <c r="B55" s="6">
        <v>1</v>
      </c>
      <c r="C55" s="6" t="s">
        <v>2007</v>
      </c>
      <c r="D55" s="85"/>
      <c r="E55" s="6" t="s">
        <v>2008</v>
      </c>
      <c r="F55" s="86" t="s">
        <v>1951</v>
      </c>
    </row>
    <row r="56" spans="1:26" ht="12.75" customHeight="1" x14ac:dyDescent="0.2">
      <c r="A56" s="6" t="s">
        <v>2006</v>
      </c>
      <c r="B56" s="6">
        <v>2</v>
      </c>
      <c r="C56" s="6" t="s">
        <v>2009</v>
      </c>
      <c r="E56" s="6" t="s">
        <v>2010</v>
      </c>
      <c r="F56" s="86" t="s">
        <v>1951</v>
      </c>
    </row>
    <row r="57" spans="1:26" ht="12.75" customHeight="1" x14ac:dyDescent="0.2">
      <c r="A57" s="6" t="s">
        <v>2006</v>
      </c>
      <c r="B57" s="6">
        <v>3</v>
      </c>
      <c r="C57" s="6" t="s">
        <v>2011</v>
      </c>
      <c r="E57" s="6" t="s">
        <v>2012</v>
      </c>
      <c r="F57" s="86" t="s">
        <v>1951</v>
      </c>
    </row>
    <row r="58" spans="1:26" ht="12.75" customHeight="1" x14ac:dyDescent="0.2">
      <c r="A58" s="6" t="s">
        <v>2006</v>
      </c>
      <c r="B58" s="6">
        <v>4</v>
      </c>
      <c r="C58" s="6" t="s">
        <v>2013</v>
      </c>
      <c r="E58" s="6" t="s">
        <v>2014</v>
      </c>
      <c r="F58" s="86" t="s">
        <v>1951</v>
      </c>
    </row>
    <row r="59" spans="1:26" ht="12.75" customHeight="1" x14ac:dyDescent="0.2">
      <c r="A59" s="6" t="s">
        <v>2006</v>
      </c>
      <c r="B59" s="6">
        <v>5</v>
      </c>
      <c r="C59" s="6" t="s">
        <v>841</v>
      </c>
      <c r="E59" s="6" t="s">
        <v>2015</v>
      </c>
      <c r="F59" s="86" t="s">
        <v>1951</v>
      </c>
    </row>
    <row r="60" spans="1:26" ht="12.75" customHeight="1" x14ac:dyDescent="0.2">
      <c r="A60" s="6" t="s">
        <v>2006</v>
      </c>
      <c r="B60" s="6">
        <v>6</v>
      </c>
      <c r="C60" s="6" t="s">
        <v>2016</v>
      </c>
      <c r="E60" s="6" t="s">
        <v>2017</v>
      </c>
      <c r="F60" s="86" t="s">
        <v>1951</v>
      </c>
    </row>
    <row r="61" spans="1:26" ht="12.75" customHeight="1" x14ac:dyDescent="0.2">
      <c r="A61" s="6" t="s">
        <v>2006</v>
      </c>
      <c r="B61" s="6">
        <v>7</v>
      </c>
      <c r="C61" s="6" t="s">
        <v>2018</v>
      </c>
      <c r="E61" s="6" t="s">
        <v>2019</v>
      </c>
      <c r="F61" s="86" t="s">
        <v>1951</v>
      </c>
    </row>
    <row r="62" spans="1:26" ht="12.75" customHeight="1" x14ac:dyDescent="0.2">
      <c r="A62" s="6" t="s">
        <v>2006</v>
      </c>
      <c r="B62" s="6">
        <v>96</v>
      </c>
      <c r="C62" s="6" t="s">
        <v>730</v>
      </c>
      <c r="E62" s="6" t="s">
        <v>2020</v>
      </c>
      <c r="F62" s="86" t="s">
        <v>1951</v>
      </c>
    </row>
    <row r="63" spans="1:26" ht="12.75" customHeight="1" x14ac:dyDescent="0.2">
      <c r="A63" s="6" t="s">
        <v>2021</v>
      </c>
      <c r="B63" s="6">
        <v>3</v>
      </c>
      <c r="C63" s="6" t="s">
        <v>2022</v>
      </c>
      <c r="E63" s="6" t="s">
        <v>2022</v>
      </c>
      <c r="F63" s="86" t="s">
        <v>1951</v>
      </c>
    </row>
    <row r="64" spans="1:26" ht="12.75" customHeight="1" x14ac:dyDescent="0.2">
      <c r="A64" s="6" t="s">
        <v>2021</v>
      </c>
      <c r="B64" s="6">
        <v>1</v>
      </c>
      <c r="C64" s="6" t="s">
        <v>2023</v>
      </c>
      <c r="E64" s="6" t="s">
        <v>2023</v>
      </c>
      <c r="F64" s="86" t="s">
        <v>1951</v>
      </c>
    </row>
    <row r="65" spans="1:6" ht="12.75" customHeight="1" x14ac:dyDescent="0.2">
      <c r="A65" s="6" t="s">
        <v>2021</v>
      </c>
      <c r="B65" s="6">
        <v>2</v>
      </c>
      <c r="C65" s="6" t="s">
        <v>2024</v>
      </c>
      <c r="E65" s="6" t="s">
        <v>2025</v>
      </c>
      <c r="F65" s="86" t="s">
        <v>1951</v>
      </c>
    </row>
    <row r="66" spans="1:6" ht="12.75" customHeight="1" x14ac:dyDescent="0.2">
      <c r="A66" s="6" t="s">
        <v>2021</v>
      </c>
      <c r="B66" s="6">
        <v>4</v>
      </c>
      <c r="C66" s="6" t="s">
        <v>2026</v>
      </c>
      <c r="E66" s="6" t="s">
        <v>2027</v>
      </c>
      <c r="F66" s="86" t="s">
        <v>1951</v>
      </c>
    </row>
    <row r="67" spans="1:6" ht="12.75" customHeight="1" x14ac:dyDescent="0.2">
      <c r="A67" s="6" t="s">
        <v>2028</v>
      </c>
      <c r="B67" s="85">
        <v>5</v>
      </c>
      <c r="C67" s="85" t="s">
        <v>2029</v>
      </c>
      <c r="D67" s="85"/>
      <c r="E67" s="85" t="s">
        <v>2030</v>
      </c>
      <c r="F67" s="86" t="s">
        <v>1951</v>
      </c>
    </row>
    <row r="68" spans="1:6" ht="12.75" customHeight="1" x14ac:dyDescent="0.2">
      <c r="A68" s="6" t="s">
        <v>2028</v>
      </c>
      <c r="B68" s="85">
        <v>6</v>
      </c>
      <c r="C68" s="85" t="s">
        <v>2031</v>
      </c>
      <c r="D68" s="85"/>
      <c r="E68" s="85" t="s">
        <v>2031</v>
      </c>
      <c r="F68" s="86" t="s">
        <v>1951</v>
      </c>
    </row>
    <row r="69" spans="1:6" ht="12.75" customHeight="1" x14ac:dyDescent="0.2">
      <c r="A69" s="6" t="s">
        <v>2028</v>
      </c>
      <c r="B69" s="85">
        <v>7</v>
      </c>
      <c r="C69" s="85" t="s">
        <v>2032</v>
      </c>
      <c r="D69" s="85"/>
      <c r="E69" s="85" t="s">
        <v>2033</v>
      </c>
      <c r="F69" s="86" t="s">
        <v>1951</v>
      </c>
    </row>
    <row r="70" spans="1:6" ht="12.75" customHeight="1" x14ac:dyDescent="0.2">
      <c r="A70" s="6" t="s">
        <v>2028</v>
      </c>
      <c r="B70" s="85">
        <v>8</v>
      </c>
      <c r="C70" s="85" t="s">
        <v>2034</v>
      </c>
      <c r="D70" s="85"/>
      <c r="E70" s="85" t="s">
        <v>2034</v>
      </c>
      <c r="F70" s="86" t="s">
        <v>1951</v>
      </c>
    </row>
    <row r="71" spans="1:6" ht="12.75" customHeight="1" x14ac:dyDescent="0.2">
      <c r="A71" s="6" t="s">
        <v>2028</v>
      </c>
      <c r="B71" s="85">
        <v>1</v>
      </c>
      <c r="C71" s="85" t="s">
        <v>2035</v>
      </c>
      <c r="D71" s="85"/>
      <c r="E71" s="85" t="s">
        <v>2036</v>
      </c>
      <c r="F71" s="86" t="s">
        <v>1951</v>
      </c>
    </row>
    <row r="72" spans="1:6" ht="12.75" customHeight="1" x14ac:dyDescent="0.2">
      <c r="A72" s="6" t="s">
        <v>2028</v>
      </c>
      <c r="B72" s="85">
        <v>11</v>
      </c>
      <c r="C72" s="85" t="s">
        <v>2037</v>
      </c>
      <c r="D72" s="85"/>
      <c r="E72" s="85" t="s">
        <v>2037</v>
      </c>
      <c r="F72" s="86" t="s">
        <v>1951</v>
      </c>
    </row>
    <row r="73" spans="1:6" ht="12.75" customHeight="1" x14ac:dyDescent="0.2">
      <c r="A73" s="6" t="s">
        <v>2028</v>
      </c>
      <c r="B73" s="85">
        <v>9</v>
      </c>
      <c r="C73" s="85" t="s">
        <v>2038</v>
      </c>
      <c r="D73" s="85"/>
      <c r="E73" s="85" t="s">
        <v>2038</v>
      </c>
      <c r="F73" s="86" t="s">
        <v>1951</v>
      </c>
    </row>
    <row r="74" spans="1:6" ht="12.75" customHeight="1" x14ac:dyDescent="0.2">
      <c r="A74" s="6" t="s">
        <v>2028</v>
      </c>
      <c r="B74" s="85">
        <v>14</v>
      </c>
      <c r="C74" s="85" t="s">
        <v>2039</v>
      </c>
      <c r="D74" s="85"/>
      <c r="E74" s="85" t="s">
        <v>2039</v>
      </c>
      <c r="F74" s="86" t="s">
        <v>1951</v>
      </c>
    </row>
    <row r="75" spans="1:6" ht="12.75" customHeight="1" x14ac:dyDescent="0.2">
      <c r="A75" s="6" t="s">
        <v>2028</v>
      </c>
      <c r="B75" s="85">
        <v>4</v>
      </c>
      <c r="C75" s="85" t="s">
        <v>2040</v>
      </c>
      <c r="D75" s="85"/>
      <c r="E75" s="85" t="s">
        <v>2041</v>
      </c>
      <c r="F75" s="86" t="s">
        <v>1951</v>
      </c>
    </row>
    <row r="76" spans="1:6" ht="12.75" customHeight="1" x14ac:dyDescent="0.2">
      <c r="A76" s="6" t="s">
        <v>2028</v>
      </c>
      <c r="B76" s="85">
        <v>15</v>
      </c>
      <c r="C76" s="85" t="s">
        <v>2042</v>
      </c>
      <c r="D76" s="85"/>
      <c r="E76" s="85" t="s">
        <v>2042</v>
      </c>
      <c r="F76" s="86" t="s">
        <v>1951</v>
      </c>
    </row>
    <row r="77" spans="1:6" ht="12.75" customHeight="1" x14ac:dyDescent="0.2">
      <c r="A77" s="6" t="s">
        <v>2028</v>
      </c>
      <c r="B77" s="85">
        <v>100</v>
      </c>
      <c r="C77" s="85" t="s">
        <v>2043</v>
      </c>
      <c r="D77" s="85"/>
      <c r="E77" s="85" t="s">
        <v>2044</v>
      </c>
      <c r="F77" s="86" t="s">
        <v>1951</v>
      </c>
    </row>
    <row r="78" spans="1:6" ht="12.75" customHeight="1" x14ac:dyDescent="0.2">
      <c r="A78" s="6" t="s">
        <v>2028</v>
      </c>
      <c r="B78" s="85">
        <v>2</v>
      </c>
      <c r="C78" s="85" t="s">
        <v>2045</v>
      </c>
      <c r="D78" s="85"/>
      <c r="E78" s="85" t="s">
        <v>2046</v>
      </c>
      <c r="F78" s="86" t="s">
        <v>1951</v>
      </c>
    </row>
    <row r="79" spans="1:6" ht="12.75" customHeight="1" x14ac:dyDescent="0.2">
      <c r="A79" s="6" t="s">
        <v>2028</v>
      </c>
      <c r="B79" s="85">
        <v>16</v>
      </c>
      <c r="C79" s="85" t="s">
        <v>2047</v>
      </c>
      <c r="D79" s="85"/>
      <c r="E79" s="85" t="s">
        <v>2048</v>
      </c>
      <c r="F79" s="86" t="s">
        <v>1951</v>
      </c>
    </row>
    <row r="80" spans="1:6" ht="12.75" customHeight="1" x14ac:dyDescent="0.2">
      <c r="A80" s="6" t="s">
        <v>2028</v>
      </c>
      <c r="B80" s="85">
        <v>17</v>
      </c>
      <c r="C80" s="85" t="s">
        <v>2049</v>
      </c>
      <c r="D80" s="85"/>
      <c r="E80" s="85" t="s">
        <v>2049</v>
      </c>
      <c r="F80" s="86" t="s">
        <v>1951</v>
      </c>
    </row>
    <row r="81" spans="1:6" ht="12.75" customHeight="1" x14ac:dyDescent="0.2">
      <c r="A81" s="6" t="s">
        <v>2028</v>
      </c>
      <c r="B81" s="85">
        <v>19</v>
      </c>
      <c r="C81" s="85" t="s">
        <v>2050</v>
      </c>
      <c r="D81" s="85"/>
      <c r="E81" s="85" t="s">
        <v>2051</v>
      </c>
      <c r="F81" s="86" t="s">
        <v>1951</v>
      </c>
    </row>
    <row r="82" spans="1:6" ht="12.75" customHeight="1" x14ac:dyDescent="0.2">
      <c r="A82" s="6" t="s">
        <v>2028</v>
      </c>
      <c r="B82" s="85">
        <v>18</v>
      </c>
      <c r="C82" s="85" t="s">
        <v>2052</v>
      </c>
      <c r="D82" s="85"/>
      <c r="E82" s="85" t="s">
        <v>2053</v>
      </c>
      <c r="F82" s="86" t="s">
        <v>1951</v>
      </c>
    </row>
    <row r="83" spans="1:6" ht="12.75" customHeight="1" x14ac:dyDescent="0.2">
      <c r="A83" s="6" t="s">
        <v>2028</v>
      </c>
      <c r="B83" s="85">
        <v>20</v>
      </c>
      <c r="C83" s="85" t="s">
        <v>2054</v>
      </c>
      <c r="D83" s="85"/>
      <c r="E83" s="85" t="s">
        <v>2054</v>
      </c>
      <c r="F83" s="86" t="s">
        <v>1951</v>
      </c>
    </row>
    <row r="84" spans="1:6" ht="12.75" customHeight="1" x14ac:dyDescent="0.2">
      <c r="A84" s="6" t="s">
        <v>2028</v>
      </c>
      <c r="B84" s="85">
        <v>21</v>
      </c>
      <c r="C84" s="85" t="s">
        <v>2055</v>
      </c>
      <c r="D84" s="85"/>
      <c r="E84" s="85" t="s">
        <v>2055</v>
      </c>
      <c r="F84" s="86" t="s">
        <v>1951</v>
      </c>
    </row>
    <row r="85" spans="1:6" ht="12.75" customHeight="1" x14ac:dyDescent="0.2">
      <c r="A85" s="6" t="s">
        <v>2028</v>
      </c>
      <c r="B85" s="85">
        <v>22</v>
      </c>
      <c r="C85" s="85" t="s">
        <v>2056</v>
      </c>
      <c r="D85" s="85"/>
      <c r="E85" s="85" t="s">
        <v>2056</v>
      </c>
      <c r="F85" s="86" t="s">
        <v>1951</v>
      </c>
    </row>
    <row r="86" spans="1:6" ht="12.75" customHeight="1" x14ac:dyDescent="0.2">
      <c r="A86" s="6" t="s">
        <v>2028</v>
      </c>
      <c r="B86" s="85">
        <v>24</v>
      </c>
      <c r="C86" s="85" t="s">
        <v>2057</v>
      </c>
      <c r="D86" s="85"/>
      <c r="E86" s="85" t="s">
        <v>2057</v>
      </c>
      <c r="F86" s="86" t="s">
        <v>1951</v>
      </c>
    </row>
    <row r="87" spans="1:6" ht="12.75" customHeight="1" x14ac:dyDescent="0.2">
      <c r="A87" s="6" t="s">
        <v>2028</v>
      </c>
      <c r="B87" s="85">
        <v>3</v>
      </c>
      <c r="C87" s="85" t="s">
        <v>2058</v>
      </c>
      <c r="D87" s="85"/>
      <c r="E87" s="85" t="s">
        <v>2059</v>
      </c>
      <c r="F87" s="86" t="s">
        <v>1951</v>
      </c>
    </row>
    <row r="88" spans="1:6" ht="12.75" customHeight="1" x14ac:dyDescent="0.2">
      <c r="A88" s="6" t="s">
        <v>2028</v>
      </c>
      <c r="B88" s="85">
        <v>10</v>
      </c>
      <c r="C88" s="85" t="s">
        <v>2060</v>
      </c>
      <c r="D88" s="85"/>
      <c r="E88" s="85" t="s">
        <v>2061</v>
      </c>
      <c r="F88" s="86" t="s">
        <v>1951</v>
      </c>
    </row>
    <row r="89" spans="1:6" ht="12.75" customHeight="1" x14ac:dyDescent="0.2">
      <c r="A89" s="6" t="s">
        <v>2028</v>
      </c>
      <c r="B89" s="85">
        <v>12</v>
      </c>
      <c r="C89" s="85" t="s">
        <v>2062</v>
      </c>
      <c r="D89" s="85"/>
      <c r="E89" s="85" t="s">
        <v>2063</v>
      </c>
      <c r="F89" s="86" t="s">
        <v>1951</v>
      </c>
    </row>
    <row r="90" spans="1:6" ht="12.75" customHeight="1" x14ac:dyDescent="0.2">
      <c r="A90" s="6" t="s">
        <v>2028</v>
      </c>
      <c r="B90" s="85">
        <v>25</v>
      </c>
      <c r="C90" s="85" t="s">
        <v>2064</v>
      </c>
      <c r="D90" s="85"/>
      <c r="E90" s="85" t="s">
        <v>2065</v>
      </c>
      <c r="F90" s="86" t="s">
        <v>1951</v>
      </c>
    </row>
    <row r="91" spans="1:6" ht="12.75" customHeight="1" x14ac:dyDescent="0.2">
      <c r="A91" s="6" t="s">
        <v>2028</v>
      </c>
      <c r="B91" s="85">
        <v>26</v>
      </c>
      <c r="C91" s="85" t="s">
        <v>2066</v>
      </c>
      <c r="D91" s="85"/>
      <c r="E91" s="85" t="s">
        <v>2066</v>
      </c>
      <c r="F91" s="86" t="s">
        <v>1951</v>
      </c>
    </row>
    <row r="92" spans="1:6" ht="12.75" customHeight="1" x14ac:dyDescent="0.2">
      <c r="A92" s="6" t="s">
        <v>2028</v>
      </c>
      <c r="B92" s="85">
        <v>27</v>
      </c>
      <c r="C92" s="85" t="s">
        <v>2067</v>
      </c>
      <c r="D92" s="85"/>
      <c r="E92" s="85" t="s">
        <v>2067</v>
      </c>
      <c r="F92" s="86" t="s">
        <v>1951</v>
      </c>
    </row>
    <row r="93" spans="1:6" ht="12.75" customHeight="1" x14ac:dyDescent="0.2">
      <c r="A93" s="6" t="s">
        <v>2028</v>
      </c>
      <c r="B93" s="85">
        <v>28</v>
      </c>
      <c r="C93" s="85" t="s">
        <v>2068</v>
      </c>
      <c r="D93" s="85"/>
      <c r="E93" s="85" t="s">
        <v>2069</v>
      </c>
      <c r="F93" s="86" t="s">
        <v>1951</v>
      </c>
    </row>
    <row r="94" spans="1:6" ht="12.75" customHeight="1" x14ac:dyDescent="0.2">
      <c r="A94" s="6" t="s">
        <v>2028</v>
      </c>
      <c r="B94" s="85">
        <v>23</v>
      </c>
      <c r="C94" s="85" t="s">
        <v>2070</v>
      </c>
      <c r="D94" s="85"/>
      <c r="E94" s="85" t="s">
        <v>2071</v>
      </c>
      <c r="F94" s="86" t="s">
        <v>1951</v>
      </c>
    </row>
    <row r="95" spans="1:6" ht="12.75" customHeight="1" x14ac:dyDescent="0.2">
      <c r="A95" s="6" t="s">
        <v>2028</v>
      </c>
      <c r="B95" s="85">
        <v>13</v>
      </c>
      <c r="C95" s="85" t="s">
        <v>2072</v>
      </c>
      <c r="D95" s="85"/>
      <c r="E95" s="85" t="s">
        <v>2073</v>
      </c>
      <c r="F95" s="86" t="s">
        <v>1951</v>
      </c>
    </row>
    <row r="96" spans="1:6" ht="12.75" customHeight="1" x14ac:dyDescent="0.2">
      <c r="A96" s="6" t="s">
        <v>2028</v>
      </c>
      <c r="B96" s="85">
        <v>29</v>
      </c>
      <c r="C96" s="85" t="s">
        <v>2074</v>
      </c>
      <c r="D96" s="85"/>
      <c r="E96" s="85" t="s">
        <v>2074</v>
      </c>
      <c r="F96" s="86" t="s">
        <v>1951</v>
      </c>
    </row>
    <row r="97" spans="1:26" ht="12.75" customHeight="1" x14ac:dyDescent="0.2">
      <c r="A97" s="6" t="s">
        <v>2028</v>
      </c>
      <c r="B97" s="6">
        <v>996</v>
      </c>
      <c r="C97" s="6" t="s">
        <v>730</v>
      </c>
      <c r="E97" s="6" t="s">
        <v>2020</v>
      </c>
      <c r="F97" s="86" t="s">
        <v>1951</v>
      </c>
    </row>
    <row r="98" spans="1:26" ht="12.75" customHeight="1" x14ac:dyDescent="0.2">
      <c r="A98" s="6" t="s">
        <v>2028</v>
      </c>
      <c r="B98" s="6">
        <v>998</v>
      </c>
      <c r="C98" s="6" t="s">
        <v>2075</v>
      </c>
      <c r="E98" s="6" t="s">
        <v>2076</v>
      </c>
      <c r="F98" s="86" t="s">
        <v>1951</v>
      </c>
    </row>
    <row r="99" spans="1:26" ht="12.75" customHeight="1" x14ac:dyDescent="0.2">
      <c r="A99" s="6" t="s">
        <v>2077</v>
      </c>
      <c r="B99" s="6">
        <v>1</v>
      </c>
      <c r="C99" s="6" t="s">
        <v>2078</v>
      </c>
      <c r="E99" s="6" t="s">
        <v>2079</v>
      </c>
      <c r="F99" s="86" t="s">
        <v>1951</v>
      </c>
    </row>
    <row r="100" spans="1:26" ht="12.75" customHeight="1" x14ac:dyDescent="0.2">
      <c r="A100" s="6" t="s">
        <v>2077</v>
      </c>
      <c r="B100" s="6">
        <v>2</v>
      </c>
      <c r="C100" s="6" t="s">
        <v>2080</v>
      </c>
      <c r="E100" s="6" t="s">
        <v>2081</v>
      </c>
      <c r="F100" s="86" t="s">
        <v>1951</v>
      </c>
    </row>
    <row r="101" spans="1:26" ht="12.75" customHeight="1" x14ac:dyDescent="0.2">
      <c r="A101" s="6" t="s">
        <v>2077</v>
      </c>
      <c r="B101" s="6">
        <v>3</v>
      </c>
      <c r="C101" s="6" t="s">
        <v>2082</v>
      </c>
      <c r="E101" s="6" t="s">
        <v>2083</v>
      </c>
      <c r="F101" s="86" t="s">
        <v>1951</v>
      </c>
    </row>
    <row r="102" spans="1:26" ht="12.75" customHeight="1" x14ac:dyDescent="0.2">
      <c r="A102" s="6" t="s">
        <v>2077</v>
      </c>
      <c r="B102" s="6">
        <v>4</v>
      </c>
      <c r="C102" s="6" t="s">
        <v>2084</v>
      </c>
      <c r="E102" s="6" t="s">
        <v>2085</v>
      </c>
      <c r="F102" s="86" t="s">
        <v>1951</v>
      </c>
    </row>
    <row r="103" spans="1:26" ht="12.75" customHeight="1" x14ac:dyDescent="0.2">
      <c r="A103" s="6" t="s">
        <v>2077</v>
      </c>
      <c r="B103" s="6">
        <v>5</v>
      </c>
      <c r="C103" s="6" t="s">
        <v>2086</v>
      </c>
      <c r="E103" s="6" t="s">
        <v>2087</v>
      </c>
      <c r="F103" s="86" t="s">
        <v>1951</v>
      </c>
    </row>
    <row r="104" spans="1:26" ht="12.75" customHeight="1" x14ac:dyDescent="0.2">
      <c r="A104" s="6" t="s">
        <v>2077</v>
      </c>
      <c r="B104" s="6">
        <v>6</v>
      </c>
      <c r="C104" s="6" t="s">
        <v>2088</v>
      </c>
      <c r="E104" s="6" t="s">
        <v>2089</v>
      </c>
      <c r="F104" s="86" t="s">
        <v>1951</v>
      </c>
    </row>
    <row r="105" spans="1:26" ht="12.75" customHeight="1" x14ac:dyDescent="0.2">
      <c r="A105" s="6" t="s">
        <v>2077</v>
      </c>
      <c r="B105" s="6">
        <v>98</v>
      </c>
      <c r="C105" s="6" t="s">
        <v>2090</v>
      </c>
      <c r="E105" s="6" t="s">
        <v>2091</v>
      </c>
      <c r="F105" s="86" t="s">
        <v>1951</v>
      </c>
    </row>
    <row r="106" spans="1:26" ht="12.75" customHeight="1" x14ac:dyDescent="0.2">
      <c r="A106" s="6" t="s">
        <v>2077</v>
      </c>
      <c r="B106" s="6">
        <v>97</v>
      </c>
      <c r="C106" s="6" t="s">
        <v>2092</v>
      </c>
      <c r="E106" s="6" t="s">
        <v>2093</v>
      </c>
      <c r="F106" s="86" t="s">
        <v>1951</v>
      </c>
    </row>
    <row r="107" spans="1:26" ht="12.75" customHeight="1" x14ac:dyDescent="0.2">
      <c r="A107" s="6" t="s">
        <v>2094</v>
      </c>
      <c r="B107" s="6">
        <v>2</v>
      </c>
      <c r="C107" s="6" t="s">
        <v>2015</v>
      </c>
      <c r="E107" s="6" t="s">
        <v>2015</v>
      </c>
      <c r="F107" s="86" t="s">
        <v>1951</v>
      </c>
    </row>
    <row r="108" spans="1:26" ht="12.75" customHeight="1" x14ac:dyDescent="0.2">
      <c r="A108" s="6" t="s">
        <v>2094</v>
      </c>
      <c r="B108" s="6">
        <v>3</v>
      </c>
      <c r="C108" s="6" t="s">
        <v>2095</v>
      </c>
      <c r="E108" s="6" t="s">
        <v>2096</v>
      </c>
      <c r="F108" s="86" t="s">
        <v>1951</v>
      </c>
    </row>
    <row r="109" spans="1:26" ht="12.75" customHeight="1" x14ac:dyDescent="0.2">
      <c r="A109" s="6" t="s">
        <v>2094</v>
      </c>
      <c r="B109" s="6">
        <v>4</v>
      </c>
      <c r="C109" s="6" t="s">
        <v>2097</v>
      </c>
      <c r="E109" s="6" t="s">
        <v>2098</v>
      </c>
      <c r="F109" s="86" t="s">
        <v>1951</v>
      </c>
    </row>
    <row r="110" spans="1:26" ht="12.75" customHeight="1" x14ac:dyDescent="0.2">
      <c r="A110" s="6" t="s">
        <v>2094</v>
      </c>
      <c r="B110" s="6">
        <v>5</v>
      </c>
      <c r="C110" s="6" t="s">
        <v>2099</v>
      </c>
      <c r="E110" s="6" t="s">
        <v>2100</v>
      </c>
      <c r="F110" s="86" t="s">
        <v>1951</v>
      </c>
    </row>
    <row r="111" spans="1:26" ht="12.75" customHeight="1" x14ac:dyDescent="0.2">
      <c r="A111" s="6" t="s">
        <v>2094</v>
      </c>
      <c r="B111" s="6">
        <v>6</v>
      </c>
      <c r="C111" s="6" t="s">
        <v>2013</v>
      </c>
      <c r="E111" s="6" t="s">
        <v>2014</v>
      </c>
      <c r="F111" s="86" t="s">
        <v>1951</v>
      </c>
    </row>
    <row r="112" spans="1:26" ht="12.75" customHeight="1" x14ac:dyDescent="0.2">
      <c r="A112" s="6" t="s">
        <v>2094</v>
      </c>
      <c r="B112" s="6">
        <v>7</v>
      </c>
      <c r="C112" s="6" t="s">
        <v>2101</v>
      </c>
      <c r="E112" s="6" t="s">
        <v>2102</v>
      </c>
      <c r="F112" s="86" t="s">
        <v>1951</v>
      </c>
      <c r="G112" s="7"/>
      <c r="H112" s="7"/>
      <c r="I112" s="7"/>
      <c r="J112" s="7"/>
      <c r="K112" s="7"/>
      <c r="L112" s="7"/>
      <c r="M112" s="7"/>
      <c r="N112" s="7"/>
      <c r="O112" s="7"/>
      <c r="P112" s="7"/>
      <c r="Q112" s="7"/>
      <c r="R112" s="7"/>
      <c r="S112" s="7"/>
      <c r="T112" s="7"/>
      <c r="U112" s="7"/>
      <c r="V112" s="7"/>
      <c r="W112" s="7"/>
      <c r="X112" s="7"/>
      <c r="Y112" s="7"/>
      <c r="Z112" s="7"/>
    </row>
    <row r="113" spans="1:26" ht="12.75" customHeight="1" x14ac:dyDescent="0.2">
      <c r="A113" s="6" t="s">
        <v>2094</v>
      </c>
      <c r="B113" s="6">
        <v>8</v>
      </c>
      <c r="C113" s="6" t="s">
        <v>2103</v>
      </c>
      <c r="E113" s="6" t="s">
        <v>2103</v>
      </c>
      <c r="F113" s="86" t="s">
        <v>1951</v>
      </c>
    </row>
    <row r="114" spans="1:26" ht="12.75" customHeight="1" x14ac:dyDescent="0.2">
      <c r="A114" s="6" t="s">
        <v>2094</v>
      </c>
      <c r="B114" s="6">
        <v>96</v>
      </c>
      <c r="C114" s="6" t="s">
        <v>730</v>
      </c>
      <c r="E114" s="6" t="s">
        <v>2020</v>
      </c>
      <c r="F114" s="86" t="s">
        <v>1951</v>
      </c>
      <c r="G114" s="86"/>
      <c r="H114" s="86"/>
      <c r="I114" s="86"/>
      <c r="J114" s="86"/>
      <c r="K114" s="86"/>
      <c r="L114" s="86"/>
      <c r="M114" s="86"/>
      <c r="N114" s="86"/>
      <c r="O114" s="86"/>
      <c r="P114" s="86"/>
      <c r="Q114" s="86"/>
      <c r="R114" s="86"/>
      <c r="S114" s="86"/>
      <c r="T114" s="86"/>
      <c r="U114" s="86"/>
      <c r="V114" s="86"/>
      <c r="W114" s="86"/>
      <c r="X114" s="86"/>
      <c r="Y114" s="86"/>
      <c r="Z114" s="86"/>
    </row>
    <row r="115" spans="1:26" ht="12.75" customHeight="1" x14ac:dyDescent="0.2">
      <c r="A115" s="6" t="s">
        <v>2104</v>
      </c>
      <c r="B115" s="6">
        <v>51</v>
      </c>
      <c r="C115" s="6" t="s">
        <v>2105</v>
      </c>
      <c r="E115" s="6" t="s">
        <v>2551</v>
      </c>
      <c r="F115" s="86" t="s">
        <v>1951</v>
      </c>
      <c r="G115" s="86"/>
      <c r="H115" s="86"/>
      <c r="I115" s="86"/>
      <c r="J115" s="86"/>
      <c r="K115" s="86"/>
      <c r="L115" s="86"/>
      <c r="M115" s="86"/>
      <c r="N115" s="86"/>
      <c r="O115" s="86"/>
      <c r="P115" s="86"/>
      <c r="Q115" s="86"/>
      <c r="R115" s="86"/>
      <c r="S115" s="86"/>
      <c r="T115" s="86"/>
      <c r="U115" s="86"/>
      <c r="V115" s="86"/>
      <c r="W115" s="86"/>
      <c r="X115" s="86"/>
      <c r="Y115" s="86"/>
      <c r="Z115" s="86"/>
    </row>
    <row r="116" spans="1:26" ht="12.75" customHeight="1" x14ac:dyDescent="0.2">
      <c r="A116" s="6" t="s">
        <v>2104</v>
      </c>
      <c r="B116" s="6">
        <v>52</v>
      </c>
      <c r="C116" s="6" t="s">
        <v>2106</v>
      </c>
      <c r="E116" s="6" t="s">
        <v>2552</v>
      </c>
      <c r="F116" s="86" t="s">
        <v>1951</v>
      </c>
      <c r="G116" s="86"/>
      <c r="H116" s="86"/>
      <c r="I116" s="86"/>
      <c r="J116" s="86"/>
      <c r="K116" s="86"/>
      <c r="L116" s="86"/>
      <c r="M116" s="86"/>
      <c r="N116" s="86"/>
      <c r="O116" s="86"/>
      <c r="P116" s="86"/>
      <c r="Q116" s="86"/>
      <c r="R116" s="86"/>
      <c r="S116" s="86"/>
      <c r="T116" s="86"/>
      <c r="U116" s="86"/>
      <c r="V116" s="86"/>
      <c r="W116" s="86"/>
      <c r="X116" s="86"/>
      <c r="Y116" s="86"/>
      <c r="Z116" s="86"/>
    </row>
    <row r="117" spans="1:26" ht="12.75" customHeight="1" x14ac:dyDescent="0.2">
      <c r="A117" s="6" t="s">
        <v>2104</v>
      </c>
      <c r="B117" s="6">
        <v>53</v>
      </c>
      <c r="C117" s="6" t="s">
        <v>2107</v>
      </c>
      <c r="E117" s="6" t="s">
        <v>2553</v>
      </c>
      <c r="F117" s="86" t="s">
        <v>1951</v>
      </c>
      <c r="G117" s="86"/>
      <c r="H117" s="86"/>
      <c r="I117" s="86"/>
      <c r="J117" s="86"/>
      <c r="K117" s="86"/>
      <c r="L117" s="86"/>
      <c r="M117" s="86"/>
      <c r="N117" s="86"/>
      <c r="O117" s="86"/>
      <c r="P117" s="86"/>
      <c r="Q117" s="86"/>
      <c r="R117" s="86"/>
      <c r="S117" s="86"/>
      <c r="T117" s="86"/>
      <c r="U117" s="86"/>
      <c r="V117" s="86"/>
      <c r="W117" s="86"/>
      <c r="X117" s="86"/>
      <c r="Y117" s="86"/>
      <c r="Z117" s="86"/>
    </row>
    <row r="118" spans="1:26" ht="12.75" customHeight="1" x14ac:dyDescent="0.2">
      <c r="A118" s="6" t="s">
        <v>2104</v>
      </c>
      <c r="B118" s="6">
        <v>54</v>
      </c>
      <c r="C118" s="6" t="s">
        <v>2108</v>
      </c>
      <c r="E118" s="6" t="s">
        <v>2554</v>
      </c>
      <c r="F118" s="86" t="s">
        <v>1951</v>
      </c>
      <c r="G118" s="86"/>
      <c r="H118" s="86"/>
      <c r="I118" s="86"/>
      <c r="J118" s="86"/>
      <c r="K118" s="86"/>
      <c r="L118" s="86"/>
      <c r="M118" s="86"/>
      <c r="N118" s="86"/>
      <c r="O118" s="86"/>
      <c r="P118" s="86"/>
      <c r="Q118" s="86"/>
      <c r="R118" s="86"/>
      <c r="S118" s="86"/>
      <c r="T118" s="86"/>
      <c r="U118" s="86"/>
      <c r="V118" s="86"/>
      <c r="W118" s="86"/>
      <c r="X118" s="86"/>
      <c r="Y118" s="86"/>
      <c r="Z118" s="86"/>
    </row>
    <row r="119" spans="1:26" ht="12.75" customHeight="1" x14ac:dyDescent="0.2">
      <c r="A119" s="6" t="s">
        <v>2109</v>
      </c>
      <c r="B119" s="6">
        <v>1</v>
      </c>
      <c r="C119" s="6" t="s">
        <v>2110</v>
      </c>
      <c r="E119" s="6" t="s">
        <v>2111</v>
      </c>
      <c r="F119" s="86" t="s">
        <v>1951</v>
      </c>
      <c r="G119" s="86"/>
      <c r="H119" s="86"/>
      <c r="I119" s="86"/>
      <c r="J119" s="86"/>
      <c r="K119" s="86"/>
      <c r="L119" s="86"/>
      <c r="M119" s="86"/>
      <c r="N119" s="86"/>
      <c r="O119" s="86"/>
      <c r="P119" s="86"/>
      <c r="Q119" s="86"/>
      <c r="R119" s="86"/>
      <c r="S119" s="86"/>
      <c r="T119" s="86"/>
      <c r="U119" s="86"/>
      <c r="V119" s="86"/>
      <c r="W119" s="86"/>
      <c r="X119" s="86"/>
      <c r="Y119" s="86"/>
      <c r="Z119" s="86"/>
    </row>
    <row r="120" spans="1:26" ht="12.75" customHeight="1" x14ac:dyDescent="0.2">
      <c r="A120" s="6" t="s">
        <v>2109</v>
      </c>
      <c r="B120" s="6">
        <v>2</v>
      </c>
      <c r="C120" s="6" t="s">
        <v>2112</v>
      </c>
      <c r="E120" s="6" t="s">
        <v>2113</v>
      </c>
      <c r="F120" s="86" t="s">
        <v>1951</v>
      </c>
      <c r="G120" s="86"/>
      <c r="H120" s="86"/>
      <c r="I120" s="86"/>
      <c r="J120" s="86"/>
      <c r="K120" s="86"/>
      <c r="L120" s="86"/>
      <c r="M120" s="86"/>
      <c r="N120" s="86"/>
      <c r="O120" s="86"/>
      <c r="P120" s="86"/>
      <c r="Q120" s="86"/>
      <c r="R120" s="86"/>
      <c r="S120" s="86"/>
      <c r="T120" s="86"/>
      <c r="U120" s="86"/>
      <c r="V120" s="86"/>
      <c r="W120" s="86"/>
      <c r="X120" s="86"/>
      <c r="Y120" s="86"/>
      <c r="Z120" s="86"/>
    </row>
    <row r="121" spans="1:26" ht="12.75" customHeight="1" x14ac:dyDescent="0.2">
      <c r="A121" s="6" t="s">
        <v>2109</v>
      </c>
      <c r="B121" s="6">
        <v>3</v>
      </c>
      <c r="C121" s="6" t="s">
        <v>2114</v>
      </c>
      <c r="E121" s="6" t="s">
        <v>2115</v>
      </c>
      <c r="F121" s="86" t="s">
        <v>1951</v>
      </c>
      <c r="G121" s="86"/>
      <c r="H121" s="86"/>
      <c r="I121" s="86"/>
      <c r="J121" s="86"/>
      <c r="K121" s="86"/>
      <c r="L121" s="86"/>
      <c r="M121" s="86"/>
      <c r="N121" s="86"/>
      <c r="O121" s="86"/>
      <c r="P121" s="86"/>
      <c r="Q121" s="86"/>
      <c r="R121" s="86"/>
      <c r="S121" s="86"/>
      <c r="T121" s="86"/>
      <c r="U121" s="86"/>
      <c r="V121" s="86"/>
      <c r="W121" s="86"/>
      <c r="X121" s="86"/>
      <c r="Y121" s="86"/>
      <c r="Z121" s="86"/>
    </row>
    <row r="122" spans="1:26" ht="12.75" customHeight="1" x14ac:dyDescent="0.2">
      <c r="A122" s="6" t="s">
        <v>2109</v>
      </c>
      <c r="B122" s="6">
        <v>96</v>
      </c>
      <c r="C122" s="6" t="s">
        <v>730</v>
      </c>
      <c r="E122" s="6" t="s">
        <v>2020</v>
      </c>
      <c r="F122" s="86" t="s">
        <v>1951</v>
      </c>
      <c r="G122" s="86"/>
      <c r="H122" s="86"/>
      <c r="I122" s="86"/>
      <c r="J122" s="86"/>
      <c r="K122" s="86"/>
      <c r="L122" s="86"/>
      <c r="M122" s="86"/>
      <c r="N122" s="86"/>
      <c r="O122" s="86"/>
      <c r="P122" s="86"/>
      <c r="Q122" s="86"/>
      <c r="R122" s="86"/>
      <c r="S122" s="86"/>
      <c r="T122" s="86"/>
      <c r="U122" s="86"/>
      <c r="V122" s="86"/>
      <c r="W122" s="86"/>
      <c r="X122" s="86"/>
      <c r="Y122" s="86"/>
      <c r="Z122" s="86"/>
    </row>
    <row r="123" spans="1:26" ht="12.75" customHeight="1" x14ac:dyDescent="0.2">
      <c r="A123" s="6" t="s">
        <v>2109</v>
      </c>
      <c r="B123" s="6">
        <v>98</v>
      </c>
      <c r="C123" s="6" t="s">
        <v>2116</v>
      </c>
      <c r="E123" s="6" t="s">
        <v>2091</v>
      </c>
      <c r="F123" s="86" t="s">
        <v>1951</v>
      </c>
      <c r="G123" s="86"/>
      <c r="H123" s="86"/>
      <c r="I123" s="86"/>
      <c r="J123" s="86"/>
      <c r="K123" s="86"/>
      <c r="L123" s="86"/>
      <c r="M123" s="86"/>
      <c r="N123" s="86"/>
      <c r="O123" s="86"/>
      <c r="P123" s="86"/>
      <c r="Q123" s="86"/>
      <c r="R123" s="86"/>
      <c r="S123" s="86"/>
      <c r="T123" s="86"/>
      <c r="U123" s="86"/>
      <c r="V123" s="86"/>
      <c r="W123" s="86"/>
      <c r="X123" s="86"/>
      <c r="Y123" s="86"/>
      <c r="Z123" s="86"/>
    </row>
    <row r="124" spans="1:26" ht="12.75" customHeight="1" x14ac:dyDescent="0.2">
      <c r="A124" s="6" t="s">
        <v>2117</v>
      </c>
      <c r="B124" s="6">
        <v>1</v>
      </c>
      <c r="C124" s="6" t="s">
        <v>2118</v>
      </c>
      <c r="E124" s="6" t="s">
        <v>2119</v>
      </c>
      <c r="F124" s="86" t="s">
        <v>1951</v>
      </c>
      <c r="G124" s="86"/>
      <c r="H124" s="86"/>
      <c r="I124" s="86"/>
      <c r="J124" s="86"/>
      <c r="K124" s="86"/>
      <c r="L124" s="86"/>
      <c r="M124" s="86"/>
      <c r="N124" s="86"/>
      <c r="O124" s="86"/>
      <c r="P124" s="86"/>
      <c r="Q124" s="86"/>
      <c r="R124" s="86"/>
      <c r="S124" s="86"/>
      <c r="T124" s="86"/>
      <c r="U124" s="86"/>
      <c r="V124" s="86"/>
      <c r="W124" s="86"/>
      <c r="X124" s="86"/>
      <c r="Y124" s="86"/>
      <c r="Z124" s="86"/>
    </row>
    <row r="125" spans="1:26" ht="12.75" customHeight="1" x14ac:dyDescent="0.2">
      <c r="A125" s="6" t="s">
        <v>2117</v>
      </c>
      <c r="B125" s="6">
        <v>2</v>
      </c>
      <c r="C125" s="6" t="s">
        <v>2120</v>
      </c>
      <c r="E125" s="6" t="s">
        <v>836</v>
      </c>
      <c r="F125" s="86" t="s">
        <v>1951</v>
      </c>
      <c r="G125" s="86"/>
      <c r="H125" s="86"/>
      <c r="I125" s="86"/>
      <c r="J125" s="86"/>
      <c r="K125" s="86"/>
      <c r="L125" s="86"/>
      <c r="M125" s="86"/>
      <c r="N125" s="86"/>
      <c r="O125" s="86"/>
      <c r="P125" s="86"/>
      <c r="Q125" s="86"/>
      <c r="R125" s="86"/>
      <c r="S125" s="86"/>
      <c r="T125" s="86"/>
      <c r="U125" s="86"/>
      <c r="V125" s="86"/>
      <c r="W125" s="86"/>
      <c r="X125" s="86"/>
      <c r="Y125" s="86"/>
      <c r="Z125" s="86"/>
    </row>
    <row r="126" spans="1:26" ht="12.75" customHeight="1" x14ac:dyDescent="0.2">
      <c r="A126" s="6" t="s">
        <v>2117</v>
      </c>
      <c r="B126" s="6">
        <v>3</v>
      </c>
      <c r="C126" s="6" t="s">
        <v>829</v>
      </c>
      <c r="E126" s="6" t="s">
        <v>830</v>
      </c>
      <c r="F126" s="86" t="s">
        <v>1951</v>
      </c>
      <c r="G126" s="86"/>
      <c r="H126" s="86"/>
      <c r="I126" s="86"/>
      <c r="J126" s="86"/>
      <c r="K126" s="86"/>
      <c r="L126" s="86"/>
      <c r="M126" s="86"/>
      <c r="N126" s="86"/>
      <c r="O126" s="86"/>
      <c r="P126" s="86"/>
      <c r="Q126" s="86"/>
      <c r="R126" s="86"/>
      <c r="S126" s="86"/>
      <c r="T126" s="86"/>
      <c r="U126" s="86"/>
      <c r="V126" s="86"/>
      <c r="W126" s="86"/>
      <c r="X126" s="86"/>
      <c r="Y126" s="86"/>
      <c r="Z126" s="86"/>
    </row>
    <row r="127" spans="1:26" ht="12.75" customHeight="1" x14ac:dyDescent="0.2">
      <c r="A127" s="6" t="s">
        <v>2117</v>
      </c>
      <c r="B127" s="6">
        <v>4</v>
      </c>
      <c r="C127" s="6" t="s">
        <v>838</v>
      </c>
      <c r="E127" s="6" t="s">
        <v>839</v>
      </c>
      <c r="F127" s="86" t="s">
        <v>1951</v>
      </c>
      <c r="G127" s="86"/>
      <c r="H127" s="86"/>
      <c r="I127" s="86"/>
      <c r="J127" s="86"/>
      <c r="K127" s="86"/>
      <c r="L127" s="86"/>
      <c r="M127" s="86"/>
      <c r="N127" s="86"/>
      <c r="O127" s="86"/>
      <c r="P127" s="86"/>
      <c r="Q127" s="86"/>
      <c r="R127" s="86"/>
      <c r="S127" s="86"/>
      <c r="T127" s="86"/>
      <c r="U127" s="86"/>
      <c r="V127" s="86"/>
      <c r="W127" s="86"/>
      <c r="X127" s="86"/>
      <c r="Y127" s="86"/>
      <c r="Z127" s="86"/>
    </row>
    <row r="128" spans="1:26" ht="12.75" customHeight="1" x14ac:dyDescent="0.2">
      <c r="A128" s="6" t="s">
        <v>2117</v>
      </c>
      <c r="B128" s="6">
        <v>5</v>
      </c>
      <c r="C128" s="6" t="s">
        <v>2121</v>
      </c>
      <c r="E128" s="6" t="s">
        <v>2122</v>
      </c>
      <c r="F128" s="86" t="s">
        <v>1951</v>
      </c>
      <c r="G128" s="86"/>
      <c r="H128" s="86"/>
      <c r="I128" s="86"/>
      <c r="J128" s="86"/>
      <c r="K128" s="86"/>
      <c r="L128" s="86"/>
      <c r="M128" s="86"/>
      <c r="N128" s="86"/>
      <c r="O128" s="86"/>
      <c r="P128" s="86"/>
      <c r="Q128" s="86"/>
      <c r="R128" s="86"/>
      <c r="S128" s="86"/>
      <c r="T128" s="86"/>
      <c r="U128" s="86"/>
      <c r="V128" s="86"/>
      <c r="W128" s="86"/>
      <c r="X128" s="86"/>
      <c r="Y128" s="86"/>
      <c r="Z128" s="86"/>
    </row>
    <row r="129" spans="1:26" ht="12.75" customHeight="1" x14ac:dyDescent="0.2">
      <c r="A129" s="6" t="s">
        <v>2117</v>
      </c>
      <c r="B129" s="6">
        <v>7</v>
      </c>
      <c r="C129" s="6" t="s">
        <v>2123</v>
      </c>
      <c r="E129" s="6" t="s">
        <v>2124</v>
      </c>
      <c r="F129" s="86" t="s">
        <v>1951</v>
      </c>
      <c r="G129" s="86"/>
      <c r="H129" s="86"/>
      <c r="I129" s="86"/>
      <c r="J129" s="86"/>
      <c r="K129" s="86"/>
      <c r="L129" s="86"/>
      <c r="M129" s="86"/>
      <c r="N129" s="86"/>
      <c r="O129" s="86"/>
      <c r="P129" s="86"/>
      <c r="Q129" s="86"/>
      <c r="R129" s="86"/>
      <c r="S129" s="86"/>
      <c r="T129" s="86"/>
      <c r="U129" s="86"/>
      <c r="V129" s="86"/>
      <c r="W129" s="86"/>
      <c r="X129" s="86"/>
      <c r="Y129" s="86"/>
      <c r="Z129" s="86"/>
    </row>
    <row r="130" spans="1:26" ht="12.75" customHeight="1" x14ac:dyDescent="0.2">
      <c r="A130" s="6" t="s">
        <v>2117</v>
      </c>
      <c r="B130" s="6">
        <v>11</v>
      </c>
      <c r="C130" s="6" t="s">
        <v>844</v>
      </c>
      <c r="E130" s="6" t="s">
        <v>845</v>
      </c>
      <c r="F130" s="86" t="s">
        <v>1951</v>
      </c>
      <c r="G130" s="86"/>
      <c r="H130" s="86"/>
      <c r="I130" s="86"/>
      <c r="J130" s="86"/>
      <c r="K130" s="86"/>
      <c r="L130" s="86"/>
      <c r="M130" s="86"/>
      <c r="N130" s="86"/>
      <c r="O130" s="86"/>
      <c r="P130" s="86"/>
      <c r="Q130" s="86"/>
      <c r="R130" s="86"/>
      <c r="S130" s="86"/>
      <c r="T130" s="86"/>
      <c r="U130" s="86"/>
      <c r="V130" s="86"/>
      <c r="W130" s="86"/>
      <c r="X130" s="86"/>
      <c r="Y130" s="86"/>
      <c r="Z130" s="86"/>
    </row>
    <row r="131" spans="1:26" ht="12.75" customHeight="1" x14ac:dyDescent="0.2">
      <c r="A131" s="6" t="s">
        <v>2117</v>
      </c>
      <c r="B131" s="6">
        <v>12</v>
      </c>
      <c r="C131" s="6" t="s">
        <v>2125</v>
      </c>
      <c r="E131" s="6" t="s">
        <v>2126</v>
      </c>
      <c r="F131" s="86" t="s">
        <v>1951</v>
      </c>
      <c r="G131" s="86"/>
      <c r="H131" s="86"/>
      <c r="I131" s="86"/>
      <c r="J131" s="86"/>
      <c r="K131" s="86"/>
      <c r="L131" s="86"/>
      <c r="M131" s="86"/>
      <c r="N131" s="86"/>
      <c r="O131" s="86"/>
      <c r="P131" s="86"/>
      <c r="Q131" s="86"/>
      <c r="R131" s="86"/>
      <c r="S131" s="86"/>
      <c r="T131" s="86"/>
      <c r="U131" s="86"/>
      <c r="V131" s="86"/>
      <c r="W131" s="86"/>
      <c r="X131" s="86"/>
      <c r="Y131" s="86"/>
      <c r="Z131" s="86"/>
    </row>
    <row r="132" spans="1:26" ht="12.75" customHeight="1" x14ac:dyDescent="0.2">
      <c r="A132" s="6" t="s">
        <v>2117</v>
      </c>
      <c r="B132" s="6">
        <v>96</v>
      </c>
      <c r="C132" s="6" t="s">
        <v>2127</v>
      </c>
      <c r="E132" s="6" t="s">
        <v>2128</v>
      </c>
      <c r="F132" s="86" t="s">
        <v>1951</v>
      </c>
      <c r="G132" s="86"/>
      <c r="H132" s="86"/>
      <c r="I132" s="86"/>
      <c r="J132" s="86"/>
      <c r="K132" s="86"/>
      <c r="L132" s="86"/>
      <c r="M132" s="86"/>
      <c r="N132" s="86"/>
      <c r="O132" s="86"/>
      <c r="P132" s="86"/>
      <c r="Q132" s="86"/>
      <c r="R132" s="86"/>
      <c r="S132" s="86"/>
      <c r="T132" s="86"/>
      <c r="U132" s="86"/>
      <c r="V132" s="86"/>
      <c r="W132" s="86"/>
      <c r="X132" s="86"/>
      <c r="Y132" s="86"/>
      <c r="Z132" s="86"/>
    </row>
    <row r="133" spans="1:26" ht="12.75" customHeight="1" x14ac:dyDescent="0.2">
      <c r="A133" s="6" t="s">
        <v>2117</v>
      </c>
      <c r="B133" s="6">
        <v>97</v>
      </c>
      <c r="C133" s="6" t="s">
        <v>2129</v>
      </c>
      <c r="E133" s="6" t="s">
        <v>2130</v>
      </c>
      <c r="F133" s="86" t="s">
        <v>1951</v>
      </c>
      <c r="G133" s="86"/>
      <c r="H133" s="86"/>
      <c r="I133" s="86"/>
      <c r="J133" s="86"/>
      <c r="K133" s="86"/>
      <c r="L133" s="86"/>
      <c r="M133" s="86"/>
      <c r="N133" s="86"/>
      <c r="O133" s="86"/>
      <c r="P133" s="86"/>
      <c r="Q133" s="86"/>
      <c r="R133" s="86"/>
      <c r="S133" s="86"/>
      <c r="T133" s="86"/>
      <c r="U133" s="86"/>
      <c r="V133" s="86"/>
      <c r="W133" s="86"/>
      <c r="X133" s="86"/>
      <c r="Y133" s="86"/>
      <c r="Z133" s="86"/>
    </row>
    <row r="134" spans="1:26" ht="12.75" customHeight="1" x14ac:dyDescent="0.2">
      <c r="A134" s="6" t="s">
        <v>2117</v>
      </c>
      <c r="B134" s="6">
        <v>98</v>
      </c>
      <c r="C134" s="6" t="s">
        <v>2116</v>
      </c>
      <c r="E134" s="6" t="s">
        <v>2091</v>
      </c>
      <c r="F134" s="86" t="s">
        <v>1951</v>
      </c>
      <c r="G134" s="86"/>
      <c r="H134" s="86"/>
      <c r="I134" s="86"/>
      <c r="J134" s="86"/>
      <c r="K134" s="86"/>
      <c r="L134" s="86"/>
      <c r="M134" s="86"/>
      <c r="N134" s="86"/>
      <c r="O134" s="86"/>
      <c r="P134" s="86"/>
      <c r="Q134" s="86"/>
      <c r="R134" s="86"/>
      <c r="S134" s="86"/>
      <c r="T134" s="86"/>
      <c r="U134" s="86"/>
      <c r="V134" s="86"/>
      <c r="W134" s="86"/>
      <c r="X134" s="86"/>
      <c r="Y134" s="86"/>
      <c r="Z134" s="86"/>
    </row>
    <row r="135" spans="1:26" ht="12.75" customHeight="1" x14ac:dyDescent="0.2">
      <c r="A135" s="6" t="s">
        <v>2131</v>
      </c>
      <c r="B135" s="6">
        <v>1</v>
      </c>
      <c r="C135" s="6" t="s">
        <v>2132</v>
      </c>
      <c r="D135" s="6">
        <v>51</v>
      </c>
      <c r="E135" s="6" t="s">
        <v>2555</v>
      </c>
      <c r="F135" s="86" t="s">
        <v>1951</v>
      </c>
      <c r="G135" s="86"/>
      <c r="H135" s="86"/>
      <c r="I135" s="86"/>
      <c r="J135" s="86"/>
      <c r="K135" s="86"/>
      <c r="L135" s="86"/>
      <c r="M135" s="86"/>
      <c r="N135" s="86"/>
      <c r="O135" s="86"/>
      <c r="P135" s="86"/>
      <c r="Q135" s="86"/>
      <c r="R135" s="86"/>
      <c r="S135" s="86"/>
      <c r="T135" s="86"/>
      <c r="U135" s="86"/>
      <c r="V135" s="86"/>
      <c r="W135" s="86"/>
      <c r="X135" s="86"/>
      <c r="Y135" s="86"/>
      <c r="Z135" s="86"/>
    </row>
    <row r="136" spans="1:26" ht="12.75" customHeight="1" x14ac:dyDescent="0.2">
      <c r="A136" s="6" t="s">
        <v>2131</v>
      </c>
      <c r="B136" s="6">
        <v>2</v>
      </c>
      <c r="C136" s="6" t="s">
        <v>2133</v>
      </c>
      <c r="D136" s="6">
        <v>52</v>
      </c>
      <c r="E136" s="6" t="s">
        <v>2556</v>
      </c>
      <c r="F136" s="86" t="s">
        <v>1951</v>
      </c>
      <c r="G136" s="86"/>
      <c r="H136" s="86"/>
      <c r="I136" s="86"/>
      <c r="J136" s="86"/>
      <c r="K136" s="86"/>
      <c r="L136" s="86"/>
      <c r="M136" s="86"/>
      <c r="N136" s="86"/>
      <c r="O136" s="86"/>
      <c r="P136" s="86"/>
      <c r="Q136" s="86"/>
      <c r="R136" s="86"/>
      <c r="S136" s="86"/>
      <c r="T136" s="86"/>
      <c r="U136" s="86"/>
      <c r="V136" s="86"/>
      <c r="W136" s="86"/>
      <c r="X136" s="86"/>
      <c r="Y136" s="86"/>
      <c r="Z136" s="86"/>
    </row>
    <row r="137" spans="1:26" ht="12.75" customHeight="1" x14ac:dyDescent="0.2">
      <c r="A137" s="6" t="s">
        <v>2131</v>
      </c>
      <c r="B137" s="6">
        <v>3</v>
      </c>
      <c r="C137" s="6" t="s">
        <v>2134</v>
      </c>
      <c r="D137" s="6">
        <v>53</v>
      </c>
      <c r="E137" s="6" t="s">
        <v>2557</v>
      </c>
      <c r="F137" s="86" t="s">
        <v>1951</v>
      </c>
      <c r="G137" s="86"/>
      <c r="H137" s="86"/>
      <c r="I137" s="86"/>
      <c r="J137" s="86"/>
      <c r="K137" s="86"/>
      <c r="L137" s="86"/>
      <c r="M137" s="86"/>
      <c r="N137" s="86"/>
      <c r="O137" s="86"/>
      <c r="P137" s="86"/>
      <c r="Q137" s="86"/>
      <c r="R137" s="86"/>
      <c r="S137" s="86"/>
      <c r="T137" s="86"/>
      <c r="U137" s="86"/>
      <c r="V137" s="86"/>
      <c r="W137" s="86"/>
      <c r="X137" s="86"/>
      <c r="Y137" s="86"/>
      <c r="Z137" s="86"/>
    </row>
    <row r="138" spans="1:26" ht="12.75" customHeight="1" x14ac:dyDescent="0.2">
      <c r="A138" s="6" t="s">
        <v>2131</v>
      </c>
      <c r="B138" s="6">
        <v>4</v>
      </c>
      <c r="C138" s="6" t="s">
        <v>2135</v>
      </c>
      <c r="D138" s="6">
        <v>54</v>
      </c>
      <c r="E138" s="6" t="s">
        <v>2558</v>
      </c>
      <c r="F138" s="86" t="s">
        <v>1951</v>
      </c>
      <c r="G138" s="86"/>
      <c r="H138" s="86"/>
      <c r="I138" s="86"/>
      <c r="J138" s="86"/>
      <c r="K138" s="86"/>
      <c r="L138" s="86"/>
      <c r="M138" s="86"/>
      <c r="N138" s="86"/>
      <c r="O138" s="86"/>
      <c r="P138" s="86"/>
      <c r="Q138" s="86"/>
      <c r="R138" s="86"/>
      <c r="S138" s="86"/>
      <c r="T138" s="86"/>
      <c r="U138" s="86"/>
      <c r="V138" s="86"/>
      <c r="W138" s="86"/>
      <c r="X138" s="86"/>
      <c r="Y138" s="86"/>
      <c r="Z138" s="86"/>
    </row>
    <row r="139" spans="1:26" ht="12.75" customHeight="1" x14ac:dyDescent="0.2">
      <c r="A139" s="6" t="s">
        <v>2131</v>
      </c>
      <c r="B139" s="6">
        <v>5</v>
      </c>
      <c r="C139" s="6" t="s">
        <v>2136</v>
      </c>
      <c r="D139" s="6">
        <v>51</v>
      </c>
      <c r="E139" s="6" t="s">
        <v>2559</v>
      </c>
      <c r="F139" s="86" t="s">
        <v>1951</v>
      </c>
      <c r="G139" s="86"/>
      <c r="H139" s="86"/>
      <c r="I139" s="86"/>
      <c r="J139" s="86"/>
      <c r="K139" s="86"/>
      <c r="L139" s="86"/>
      <c r="M139" s="86"/>
      <c r="N139" s="86"/>
      <c r="O139" s="86"/>
      <c r="P139" s="86"/>
      <c r="Q139" s="86"/>
      <c r="R139" s="86"/>
      <c r="S139" s="86"/>
      <c r="T139" s="86"/>
      <c r="U139" s="86"/>
      <c r="V139" s="86"/>
      <c r="W139" s="86"/>
      <c r="X139" s="86"/>
      <c r="Y139" s="86"/>
      <c r="Z139" s="86"/>
    </row>
    <row r="140" spans="1:26" ht="12.75" customHeight="1" x14ac:dyDescent="0.2">
      <c r="A140" s="6" t="s">
        <v>2131</v>
      </c>
      <c r="B140" s="6">
        <v>6</v>
      </c>
      <c r="C140" s="6" t="s">
        <v>2137</v>
      </c>
      <c r="D140" s="6">
        <v>52</v>
      </c>
      <c r="E140" s="6" t="s">
        <v>2560</v>
      </c>
      <c r="F140" s="86" t="s">
        <v>1951</v>
      </c>
      <c r="G140" s="86"/>
      <c r="H140" s="86"/>
      <c r="I140" s="86"/>
      <c r="J140" s="86"/>
      <c r="K140" s="86"/>
      <c r="L140" s="86"/>
      <c r="M140" s="86"/>
      <c r="N140" s="86"/>
      <c r="O140" s="86"/>
      <c r="P140" s="86"/>
      <c r="Q140" s="86"/>
      <c r="R140" s="86"/>
      <c r="S140" s="86"/>
      <c r="T140" s="86"/>
      <c r="U140" s="86"/>
      <c r="V140" s="86"/>
      <c r="W140" s="86"/>
      <c r="X140" s="86"/>
      <c r="Y140" s="86"/>
      <c r="Z140" s="86"/>
    </row>
    <row r="141" spans="1:26" ht="12.75" customHeight="1" x14ac:dyDescent="0.2">
      <c r="A141" s="6" t="s">
        <v>2131</v>
      </c>
      <c r="B141" s="6">
        <v>7</v>
      </c>
      <c r="C141" s="6" t="s">
        <v>2138</v>
      </c>
      <c r="D141" s="6">
        <v>53</v>
      </c>
      <c r="E141" s="6" t="s">
        <v>2561</v>
      </c>
      <c r="F141" s="86" t="s">
        <v>1951</v>
      </c>
      <c r="G141" s="86"/>
      <c r="H141" s="86"/>
      <c r="I141" s="86"/>
      <c r="J141" s="86"/>
      <c r="K141" s="86"/>
      <c r="L141" s="86"/>
      <c r="M141" s="86"/>
      <c r="N141" s="86"/>
      <c r="O141" s="86"/>
      <c r="P141" s="86"/>
      <c r="Q141" s="86"/>
      <c r="R141" s="86"/>
      <c r="S141" s="86"/>
      <c r="T141" s="86"/>
      <c r="U141" s="86"/>
      <c r="V141" s="86"/>
      <c r="W141" s="86"/>
      <c r="X141" s="86"/>
      <c r="Y141" s="86"/>
      <c r="Z141" s="86"/>
    </row>
    <row r="142" spans="1:26" ht="12.75" customHeight="1" x14ac:dyDescent="0.2">
      <c r="A142" s="6" t="s">
        <v>2131</v>
      </c>
      <c r="B142" s="6">
        <v>8</v>
      </c>
      <c r="C142" s="6" t="s">
        <v>2139</v>
      </c>
      <c r="D142" s="6">
        <v>54</v>
      </c>
      <c r="E142" s="6" t="s">
        <v>2562</v>
      </c>
      <c r="F142" s="86" t="s">
        <v>1951</v>
      </c>
      <c r="G142" s="86"/>
      <c r="H142" s="86"/>
      <c r="I142" s="86"/>
      <c r="J142" s="86"/>
      <c r="K142" s="86"/>
      <c r="L142" s="86"/>
      <c r="M142" s="86"/>
      <c r="N142" s="86"/>
      <c r="O142" s="86"/>
      <c r="P142" s="86"/>
      <c r="Q142" s="86"/>
      <c r="R142" s="86"/>
      <c r="S142" s="86"/>
      <c r="T142" s="86"/>
      <c r="U142" s="86"/>
      <c r="V142" s="86"/>
      <c r="W142" s="86"/>
      <c r="X142" s="86"/>
      <c r="Y142" s="86"/>
      <c r="Z142" s="86"/>
    </row>
    <row r="143" spans="1:26" ht="12.75" customHeight="1" x14ac:dyDescent="0.2">
      <c r="A143" s="6" t="s">
        <v>2131</v>
      </c>
      <c r="B143" s="6">
        <v>9</v>
      </c>
      <c r="C143" s="6" t="s">
        <v>2140</v>
      </c>
      <c r="D143" s="6">
        <v>51</v>
      </c>
      <c r="E143" s="6" t="s">
        <v>2563</v>
      </c>
      <c r="F143" s="86" t="s">
        <v>1951</v>
      </c>
      <c r="G143" s="86"/>
      <c r="H143" s="86"/>
      <c r="I143" s="86"/>
      <c r="J143" s="86"/>
      <c r="K143" s="86"/>
      <c r="L143" s="86"/>
      <c r="M143" s="86"/>
      <c r="N143" s="86"/>
      <c r="O143" s="86"/>
      <c r="P143" s="86"/>
      <c r="Q143" s="86"/>
      <c r="R143" s="86"/>
      <c r="S143" s="86"/>
      <c r="T143" s="86"/>
      <c r="U143" s="86"/>
      <c r="V143" s="86"/>
      <c r="W143" s="86"/>
      <c r="X143" s="86"/>
      <c r="Y143" s="86"/>
      <c r="Z143" s="86"/>
    </row>
    <row r="144" spans="1:26" ht="12.75" customHeight="1" x14ac:dyDescent="0.2">
      <c r="A144" s="6" t="s">
        <v>2131</v>
      </c>
      <c r="B144" s="6">
        <v>10</v>
      </c>
      <c r="C144" s="6" t="s">
        <v>2141</v>
      </c>
      <c r="D144" s="6">
        <v>52</v>
      </c>
      <c r="E144" s="6" t="s">
        <v>2564</v>
      </c>
      <c r="F144" s="86" t="s">
        <v>1951</v>
      </c>
      <c r="G144" s="84"/>
      <c r="H144" s="84"/>
      <c r="I144" s="84"/>
      <c r="J144" s="84"/>
      <c r="K144" s="84"/>
      <c r="L144" s="84"/>
      <c r="M144" s="84"/>
      <c r="N144" s="84"/>
      <c r="O144" s="84"/>
      <c r="P144" s="84"/>
      <c r="Q144" s="84"/>
      <c r="R144" s="84"/>
      <c r="S144" s="84"/>
      <c r="T144" s="84"/>
      <c r="U144" s="84"/>
      <c r="V144" s="84"/>
      <c r="W144" s="84"/>
      <c r="X144" s="84"/>
      <c r="Y144" s="84"/>
      <c r="Z144" s="84"/>
    </row>
    <row r="145" spans="1:26" ht="12.75" customHeight="1" x14ac:dyDescent="0.2">
      <c r="A145" s="6" t="s">
        <v>2131</v>
      </c>
      <c r="B145" s="6">
        <v>11</v>
      </c>
      <c r="C145" s="6" t="s">
        <v>2142</v>
      </c>
      <c r="D145" s="6">
        <v>53</v>
      </c>
      <c r="E145" s="6" t="s">
        <v>2565</v>
      </c>
      <c r="F145" s="86" t="s">
        <v>1951</v>
      </c>
      <c r="G145" s="84"/>
      <c r="H145" s="84"/>
      <c r="I145" s="84"/>
      <c r="J145" s="84"/>
      <c r="K145" s="84"/>
      <c r="L145" s="84"/>
      <c r="M145" s="84"/>
      <c r="N145" s="84"/>
      <c r="O145" s="84"/>
      <c r="P145" s="84"/>
      <c r="Q145" s="84"/>
      <c r="R145" s="84"/>
      <c r="S145" s="84"/>
      <c r="T145" s="84"/>
      <c r="U145" s="84"/>
      <c r="V145" s="84"/>
      <c r="W145" s="84"/>
      <c r="X145" s="84"/>
      <c r="Y145" s="84"/>
      <c r="Z145" s="84"/>
    </row>
    <row r="146" spans="1:26" ht="12.75" customHeight="1" x14ac:dyDescent="0.2">
      <c r="A146" s="6" t="s">
        <v>2131</v>
      </c>
      <c r="B146" s="6">
        <v>12</v>
      </c>
      <c r="C146" s="6" t="s">
        <v>2143</v>
      </c>
      <c r="D146" s="6">
        <v>54</v>
      </c>
      <c r="E146" s="6" t="s">
        <v>2566</v>
      </c>
      <c r="F146" s="86" t="s">
        <v>1951</v>
      </c>
    </row>
    <row r="147" spans="1:26" ht="12.75" customHeight="1" x14ac:dyDescent="0.2">
      <c r="A147" s="6" t="s">
        <v>2131</v>
      </c>
      <c r="B147" s="6">
        <v>13</v>
      </c>
      <c r="C147" s="6" t="s">
        <v>2144</v>
      </c>
      <c r="D147" s="6">
        <v>51</v>
      </c>
      <c r="E147" s="6" t="s">
        <v>2567</v>
      </c>
      <c r="F147" s="86" t="s">
        <v>1951</v>
      </c>
    </row>
    <row r="148" spans="1:26" ht="12.75" customHeight="1" x14ac:dyDescent="0.2">
      <c r="A148" s="6" t="s">
        <v>2131</v>
      </c>
      <c r="B148" s="6">
        <v>14</v>
      </c>
      <c r="C148" s="6" t="s">
        <v>2145</v>
      </c>
      <c r="D148" s="6">
        <v>52</v>
      </c>
      <c r="E148" s="6" t="s">
        <v>2568</v>
      </c>
      <c r="F148" s="86" t="s">
        <v>1951</v>
      </c>
    </row>
    <row r="149" spans="1:26" ht="12.75" customHeight="1" x14ac:dyDescent="0.2">
      <c r="A149" s="6" t="s">
        <v>2131</v>
      </c>
      <c r="B149" s="6">
        <v>15</v>
      </c>
      <c r="C149" s="6" t="s">
        <v>2146</v>
      </c>
      <c r="D149" s="6">
        <v>53</v>
      </c>
      <c r="E149" s="6" t="s">
        <v>2569</v>
      </c>
      <c r="F149" s="86" t="s">
        <v>1951</v>
      </c>
    </row>
    <row r="150" spans="1:26" ht="12.75" customHeight="1" x14ac:dyDescent="0.2">
      <c r="A150" s="6" t="s">
        <v>2131</v>
      </c>
      <c r="B150" s="6">
        <v>16</v>
      </c>
      <c r="C150" s="6" t="s">
        <v>2147</v>
      </c>
      <c r="D150" s="6">
        <v>54</v>
      </c>
      <c r="E150" s="6" t="s">
        <v>2570</v>
      </c>
      <c r="F150" s="86" t="s">
        <v>1951</v>
      </c>
    </row>
    <row r="151" spans="1:26" ht="12.75" customHeight="1" x14ac:dyDescent="0.2">
      <c r="A151" s="6" t="s">
        <v>2148</v>
      </c>
      <c r="B151" s="6">
        <v>1</v>
      </c>
      <c r="C151" s="6" t="s">
        <v>2149</v>
      </c>
      <c r="E151" s="6" t="s">
        <v>2150</v>
      </c>
      <c r="F151" s="86" t="s">
        <v>1951</v>
      </c>
    </row>
    <row r="152" spans="1:26" ht="12.75" customHeight="1" x14ac:dyDescent="0.2">
      <c r="A152" s="6" t="s">
        <v>2148</v>
      </c>
      <c r="B152" s="6">
        <v>2</v>
      </c>
      <c r="C152" s="6" t="s">
        <v>2151</v>
      </c>
      <c r="E152" s="6" t="s">
        <v>2152</v>
      </c>
      <c r="F152" s="86" t="s">
        <v>1951</v>
      </c>
    </row>
    <row r="153" spans="1:26" ht="12.75" customHeight="1" x14ac:dyDescent="0.2">
      <c r="A153" s="6" t="s">
        <v>2148</v>
      </c>
      <c r="B153" s="6">
        <v>0</v>
      </c>
      <c r="C153" s="6" t="s">
        <v>2153</v>
      </c>
      <c r="E153" s="6" t="s">
        <v>2154</v>
      </c>
      <c r="F153" s="86" t="s">
        <v>1951</v>
      </c>
    </row>
    <row r="154" spans="1:26" ht="12.75" customHeight="1" x14ac:dyDescent="0.2">
      <c r="A154" s="6" t="s">
        <v>2148</v>
      </c>
      <c r="B154" s="6">
        <v>97</v>
      </c>
      <c r="C154" s="6" t="s">
        <v>2155</v>
      </c>
      <c r="E154" s="6" t="s">
        <v>2156</v>
      </c>
      <c r="F154" s="86" t="s">
        <v>1951</v>
      </c>
    </row>
    <row r="155" spans="1:26" ht="12.75" customHeight="1" x14ac:dyDescent="0.2">
      <c r="A155" s="6" t="s">
        <v>2148</v>
      </c>
      <c r="B155" s="6">
        <v>98</v>
      </c>
      <c r="C155" s="6" t="s">
        <v>2157</v>
      </c>
      <c r="E155" s="6" t="s">
        <v>2158</v>
      </c>
      <c r="F155" s="86" t="s">
        <v>1951</v>
      </c>
    </row>
    <row r="156" spans="1:26" ht="12.75" customHeight="1" x14ac:dyDescent="0.2">
      <c r="A156" s="6" t="s">
        <v>2148</v>
      </c>
      <c r="B156" s="6">
        <v>99</v>
      </c>
      <c r="C156" s="6" t="s">
        <v>2159</v>
      </c>
      <c r="E156" s="6" t="s">
        <v>2160</v>
      </c>
      <c r="F156" s="86" t="s">
        <v>1951</v>
      </c>
    </row>
    <row r="157" spans="1:26" ht="12.75" customHeight="1" x14ac:dyDescent="0.2">
      <c r="A157" s="6" t="s">
        <v>2161</v>
      </c>
      <c r="B157" s="6">
        <v>97</v>
      </c>
      <c r="C157" s="6" t="s">
        <v>2162</v>
      </c>
      <c r="E157" s="6" t="s">
        <v>2093</v>
      </c>
      <c r="F157" s="86" t="s">
        <v>1951</v>
      </c>
      <c r="G157" s="87"/>
      <c r="H157" s="87"/>
      <c r="I157" s="87"/>
      <c r="J157" s="87"/>
      <c r="K157" s="87"/>
      <c r="L157" s="87"/>
      <c r="M157" s="87"/>
      <c r="N157" s="87"/>
      <c r="O157" s="87"/>
      <c r="P157" s="87"/>
      <c r="Q157" s="87"/>
      <c r="R157" s="87"/>
      <c r="S157" s="87"/>
      <c r="T157" s="87"/>
      <c r="U157" s="87"/>
      <c r="V157" s="87"/>
      <c r="W157" s="87"/>
      <c r="X157" s="87"/>
      <c r="Y157" s="87"/>
      <c r="Z157" s="87"/>
    </row>
    <row r="158" spans="1:26" ht="12.75" customHeight="1" x14ac:dyDescent="0.2">
      <c r="A158" s="6" t="s">
        <v>2163</v>
      </c>
      <c r="B158" s="6">
        <v>1</v>
      </c>
      <c r="C158" s="6" t="s">
        <v>2164</v>
      </c>
      <c r="E158" s="6" t="s">
        <v>2165</v>
      </c>
      <c r="F158" s="86" t="s">
        <v>1951</v>
      </c>
      <c r="G158" s="87"/>
      <c r="H158" s="87"/>
      <c r="I158" s="87"/>
      <c r="J158" s="87"/>
      <c r="K158" s="87"/>
      <c r="L158" s="87"/>
      <c r="M158" s="87"/>
      <c r="N158" s="87"/>
      <c r="O158" s="87"/>
      <c r="P158" s="87"/>
      <c r="Q158" s="87"/>
      <c r="R158" s="87"/>
      <c r="S158" s="87"/>
      <c r="T158" s="87"/>
      <c r="U158" s="87"/>
      <c r="V158" s="87"/>
      <c r="W158" s="87"/>
      <c r="X158" s="87"/>
      <c r="Y158" s="87"/>
      <c r="Z158" s="87"/>
    </row>
    <row r="159" spans="1:26" ht="12.75" customHeight="1" x14ac:dyDescent="0.2">
      <c r="A159" s="6" t="s">
        <v>2163</v>
      </c>
      <c r="B159" s="6">
        <v>4</v>
      </c>
      <c r="C159" s="6" t="s">
        <v>2166</v>
      </c>
      <c r="E159" s="6" t="s">
        <v>2167</v>
      </c>
      <c r="F159" s="86" t="s">
        <v>1951</v>
      </c>
      <c r="G159" s="87"/>
      <c r="H159" s="87"/>
      <c r="I159" s="87"/>
      <c r="J159" s="87"/>
      <c r="K159" s="87"/>
      <c r="L159" s="87"/>
      <c r="M159" s="87"/>
      <c r="N159" s="87"/>
      <c r="O159" s="87"/>
      <c r="P159" s="87"/>
      <c r="Q159" s="87"/>
      <c r="R159" s="87"/>
      <c r="S159" s="87"/>
      <c r="T159" s="87"/>
      <c r="U159" s="87"/>
      <c r="V159" s="87"/>
      <c r="W159" s="87"/>
      <c r="X159" s="87"/>
      <c r="Y159" s="87"/>
      <c r="Z159" s="87"/>
    </row>
    <row r="160" spans="1:26" ht="12.75" customHeight="1" x14ac:dyDescent="0.2">
      <c r="A160" s="6" t="s">
        <v>2163</v>
      </c>
      <c r="B160" s="6">
        <v>11</v>
      </c>
      <c r="C160" s="6" t="s">
        <v>2168</v>
      </c>
      <c r="E160" s="6" t="s">
        <v>2169</v>
      </c>
      <c r="F160" s="86" t="s">
        <v>1951</v>
      </c>
    </row>
    <row r="161" spans="1:26" ht="12.75" customHeight="1" x14ac:dyDescent="0.2">
      <c r="A161" s="6" t="s">
        <v>2163</v>
      </c>
      <c r="B161" s="6">
        <v>20</v>
      </c>
      <c r="C161" s="6" t="s">
        <v>2170</v>
      </c>
      <c r="E161" s="6" t="s">
        <v>2171</v>
      </c>
      <c r="F161" s="86" t="s">
        <v>1951</v>
      </c>
    </row>
    <row r="162" spans="1:26" ht="12.75" customHeight="1" x14ac:dyDescent="0.2">
      <c r="A162" s="6" t="s">
        <v>2163</v>
      </c>
      <c r="B162" s="6">
        <v>22</v>
      </c>
      <c r="C162" s="6" t="s">
        <v>2172</v>
      </c>
      <c r="E162" s="6" t="s">
        <v>2173</v>
      </c>
      <c r="F162" s="86" t="s">
        <v>1951</v>
      </c>
    </row>
    <row r="163" spans="1:26" ht="12.75" customHeight="1" x14ac:dyDescent="0.2">
      <c r="A163" s="6" t="s">
        <v>2163</v>
      </c>
      <c r="B163" s="6">
        <v>25</v>
      </c>
      <c r="C163" s="6" t="s">
        <v>2174</v>
      </c>
      <c r="E163" s="6" t="s">
        <v>2175</v>
      </c>
      <c r="F163" s="86" t="s">
        <v>1951</v>
      </c>
    </row>
    <row r="164" spans="1:26" ht="12.75" customHeight="1" x14ac:dyDescent="0.2">
      <c r="A164" s="6" t="s">
        <v>2163</v>
      </c>
      <c r="B164" s="6">
        <v>26</v>
      </c>
      <c r="C164" s="6" t="s">
        <v>2176</v>
      </c>
      <c r="E164" s="6" t="s">
        <v>2177</v>
      </c>
      <c r="F164" s="86" t="s">
        <v>1951</v>
      </c>
    </row>
    <row r="165" spans="1:26" ht="12.75" customHeight="1" x14ac:dyDescent="0.2">
      <c r="A165" s="6" t="s">
        <v>2163</v>
      </c>
      <c r="B165" s="6">
        <v>96</v>
      </c>
      <c r="C165" s="6" t="s">
        <v>730</v>
      </c>
      <c r="E165" s="6" t="s">
        <v>2020</v>
      </c>
      <c r="F165" s="86" t="s">
        <v>1951</v>
      </c>
    </row>
    <row r="166" spans="1:26" ht="12.75" customHeight="1" x14ac:dyDescent="0.2">
      <c r="A166" s="6" t="s">
        <v>2178</v>
      </c>
      <c r="B166" s="6">
        <v>30</v>
      </c>
      <c r="C166" s="6" t="s">
        <v>829</v>
      </c>
      <c r="E166" s="6" t="s">
        <v>830</v>
      </c>
      <c r="F166" s="86" t="s">
        <v>1951</v>
      </c>
      <c r="G166" s="87"/>
      <c r="H166" s="87"/>
      <c r="I166" s="87"/>
      <c r="J166" s="87"/>
      <c r="K166" s="87"/>
      <c r="L166" s="87"/>
      <c r="M166" s="87"/>
      <c r="N166" s="87"/>
      <c r="O166" s="87"/>
      <c r="P166" s="87"/>
      <c r="Q166" s="87"/>
      <c r="R166" s="87"/>
      <c r="S166" s="87"/>
      <c r="T166" s="87"/>
      <c r="U166" s="87"/>
      <c r="V166" s="87"/>
      <c r="W166" s="87"/>
      <c r="X166" s="87"/>
      <c r="Y166" s="87"/>
      <c r="Z166" s="87"/>
    </row>
    <row r="167" spans="1:26" ht="12.75" customHeight="1" x14ac:dyDescent="0.2">
      <c r="A167" s="6" t="s">
        <v>2178</v>
      </c>
      <c r="B167" s="6">
        <v>31</v>
      </c>
      <c r="C167" s="6" t="s">
        <v>2179</v>
      </c>
      <c r="E167" s="6" t="s">
        <v>2180</v>
      </c>
      <c r="F167" s="86" t="s">
        <v>1951</v>
      </c>
      <c r="G167" s="87"/>
      <c r="H167" s="87"/>
      <c r="I167" s="87"/>
      <c r="J167" s="87"/>
      <c r="K167" s="87"/>
      <c r="L167" s="87"/>
      <c r="M167" s="87"/>
      <c r="N167" s="87"/>
      <c r="O167" s="87"/>
      <c r="P167" s="87"/>
      <c r="Q167" s="87"/>
      <c r="R167" s="87"/>
      <c r="S167" s="87"/>
      <c r="T167" s="87"/>
      <c r="U167" s="87"/>
      <c r="V167" s="87"/>
      <c r="W167" s="87"/>
      <c r="X167" s="87"/>
      <c r="Y167" s="87"/>
      <c r="Z167" s="87"/>
    </row>
    <row r="168" spans="1:26" ht="12.75" customHeight="1" x14ac:dyDescent="0.2">
      <c r="A168" s="6" t="s">
        <v>2178</v>
      </c>
      <c r="B168" s="6">
        <v>32</v>
      </c>
      <c r="C168" s="6" t="s">
        <v>838</v>
      </c>
      <c r="E168" s="6" t="s">
        <v>839</v>
      </c>
      <c r="F168" s="86" t="s">
        <v>1951</v>
      </c>
    </row>
    <row r="169" spans="1:26" ht="12.75" customHeight="1" x14ac:dyDescent="0.2">
      <c r="A169" s="6" t="s">
        <v>2178</v>
      </c>
      <c r="B169" s="6">
        <v>11</v>
      </c>
      <c r="C169" s="6" t="s">
        <v>2121</v>
      </c>
      <c r="E169" s="6" t="s">
        <v>2181</v>
      </c>
      <c r="F169" s="86" t="s">
        <v>1951</v>
      </c>
    </row>
    <row r="170" spans="1:26" ht="12.75" customHeight="1" x14ac:dyDescent="0.2">
      <c r="A170" s="6" t="s">
        <v>2178</v>
      </c>
      <c r="B170" s="6">
        <v>96</v>
      </c>
      <c r="C170" s="6" t="s">
        <v>730</v>
      </c>
      <c r="E170" s="6" t="s">
        <v>2020</v>
      </c>
      <c r="F170" s="86" t="s">
        <v>1951</v>
      </c>
    </row>
    <row r="171" spans="1:26" ht="12.75" customHeight="1" x14ac:dyDescent="0.2">
      <c r="A171" s="6" t="s">
        <v>2182</v>
      </c>
      <c r="B171" s="6">
        <v>1</v>
      </c>
      <c r="C171" s="6" t="s">
        <v>2183</v>
      </c>
      <c r="E171" s="6" t="s">
        <v>2184</v>
      </c>
      <c r="F171" s="86" t="s">
        <v>1951</v>
      </c>
      <c r="G171" s="87"/>
      <c r="H171" s="87"/>
      <c r="I171" s="87"/>
      <c r="J171" s="87"/>
      <c r="K171" s="87"/>
      <c r="L171" s="87"/>
      <c r="M171" s="87"/>
      <c r="N171" s="87"/>
      <c r="O171" s="87"/>
      <c r="P171" s="87"/>
      <c r="Q171" s="87"/>
      <c r="R171" s="87"/>
      <c r="S171" s="87"/>
      <c r="T171" s="87"/>
      <c r="U171" s="87"/>
      <c r="V171" s="87"/>
      <c r="W171" s="87"/>
      <c r="X171" s="87"/>
      <c r="Y171" s="87"/>
      <c r="Z171" s="87"/>
    </row>
    <row r="172" spans="1:26" ht="12.75" customHeight="1" x14ac:dyDescent="0.2">
      <c r="A172" s="6" t="s">
        <v>2182</v>
      </c>
      <c r="B172" s="6">
        <v>2</v>
      </c>
      <c r="C172" s="6" t="s">
        <v>2185</v>
      </c>
      <c r="E172" s="6" t="s">
        <v>2186</v>
      </c>
      <c r="F172" s="86" t="s">
        <v>1951</v>
      </c>
      <c r="G172" s="87"/>
      <c r="H172" s="87"/>
      <c r="I172" s="87"/>
      <c r="J172" s="87"/>
      <c r="K172" s="87"/>
      <c r="L172" s="87"/>
      <c r="M172" s="87"/>
      <c r="N172" s="87"/>
      <c r="O172" s="87"/>
      <c r="P172" s="87"/>
      <c r="Q172" s="87"/>
      <c r="R172" s="87"/>
      <c r="S172" s="87"/>
      <c r="T172" s="87"/>
      <c r="U172" s="87"/>
      <c r="V172" s="87"/>
      <c r="W172" s="87"/>
      <c r="X172" s="87"/>
      <c r="Y172" s="87"/>
      <c r="Z172" s="87"/>
    </row>
    <row r="173" spans="1:26" ht="12.75" customHeight="1" x14ac:dyDescent="0.2">
      <c r="A173" s="6" t="s">
        <v>2182</v>
      </c>
      <c r="B173" s="6">
        <v>3</v>
      </c>
      <c r="C173" s="6" t="s">
        <v>2187</v>
      </c>
      <c r="E173" s="6" t="s">
        <v>2188</v>
      </c>
      <c r="F173" s="86" t="s">
        <v>1951</v>
      </c>
      <c r="G173" s="87"/>
      <c r="H173" s="87"/>
      <c r="I173" s="87"/>
      <c r="J173" s="87"/>
      <c r="K173" s="87"/>
      <c r="L173" s="87"/>
      <c r="M173" s="87"/>
      <c r="N173" s="87"/>
      <c r="O173" s="87"/>
      <c r="P173" s="87"/>
      <c r="Q173" s="87"/>
      <c r="R173" s="87"/>
      <c r="S173" s="87"/>
      <c r="T173" s="87"/>
      <c r="U173" s="87"/>
      <c r="V173" s="87"/>
      <c r="W173" s="87"/>
      <c r="X173" s="87"/>
      <c r="Y173" s="87"/>
      <c r="Z173" s="87"/>
    </row>
    <row r="174" spans="1:26" ht="12.75" customHeight="1" x14ac:dyDescent="0.2">
      <c r="A174" s="6" t="s">
        <v>2182</v>
      </c>
      <c r="B174" s="6">
        <v>4</v>
      </c>
      <c r="C174" s="6" t="s">
        <v>2189</v>
      </c>
      <c r="E174" s="6" t="s">
        <v>2189</v>
      </c>
      <c r="F174" s="86" t="s">
        <v>1951</v>
      </c>
    </row>
    <row r="175" spans="1:26" ht="12.75" customHeight="1" x14ac:dyDescent="0.2">
      <c r="A175" s="6" t="s">
        <v>2190</v>
      </c>
      <c r="B175" s="6">
        <v>1</v>
      </c>
      <c r="C175" s="6" t="s">
        <v>2191</v>
      </c>
      <c r="E175" s="6" t="s">
        <v>2192</v>
      </c>
      <c r="F175" s="86" t="s">
        <v>1951</v>
      </c>
    </row>
    <row r="176" spans="1:26" ht="12.75" customHeight="1" x14ac:dyDescent="0.2">
      <c r="A176" s="6" t="s">
        <v>2190</v>
      </c>
      <c r="B176" s="6">
        <v>2</v>
      </c>
      <c r="C176" s="6" t="s">
        <v>2193</v>
      </c>
      <c r="E176" s="6" t="s">
        <v>2194</v>
      </c>
      <c r="F176" s="86" t="s">
        <v>1951</v>
      </c>
    </row>
    <row r="177" spans="1:26" ht="12.75" customHeight="1" x14ac:dyDescent="0.2">
      <c r="A177" s="6" t="s">
        <v>2190</v>
      </c>
      <c r="B177" s="6">
        <v>3</v>
      </c>
      <c r="C177" s="6" t="s">
        <v>2195</v>
      </c>
      <c r="E177" s="6" t="s">
        <v>2196</v>
      </c>
      <c r="F177" s="86" t="s">
        <v>1951</v>
      </c>
    </row>
    <row r="178" spans="1:26" ht="12.75" customHeight="1" x14ac:dyDescent="0.2">
      <c r="A178" s="6" t="s">
        <v>2190</v>
      </c>
      <c r="B178" s="6">
        <v>4</v>
      </c>
      <c r="C178" s="6" t="s">
        <v>2197</v>
      </c>
      <c r="E178" s="6" t="s">
        <v>2198</v>
      </c>
      <c r="F178" s="86" t="s">
        <v>1951</v>
      </c>
    </row>
    <row r="179" spans="1:26" ht="12.75" customHeight="1" x14ac:dyDescent="0.2">
      <c r="A179" s="6" t="s">
        <v>2190</v>
      </c>
      <c r="B179" s="6">
        <v>5</v>
      </c>
      <c r="C179" s="6" t="s">
        <v>2199</v>
      </c>
      <c r="E179" s="6" t="s">
        <v>2200</v>
      </c>
      <c r="F179" s="86" t="s">
        <v>1951</v>
      </c>
      <c r="G179" s="88"/>
      <c r="H179" s="88"/>
      <c r="I179" s="88"/>
      <c r="J179" s="88"/>
      <c r="K179" s="88"/>
      <c r="L179" s="88"/>
      <c r="M179" s="88"/>
      <c r="N179" s="88"/>
      <c r="O179" s="88"/>
      <c r="P179" s="88"/>
      <c r="Q179" s="88"/>
      <c r="R179" s="88"/>
      <c r="S179" s="88"/>
      <c r="T179" s="88"/>
      <c r="U179" s="88"/>
      <c r="V179" s="88"/>
      <c r="W179" s="88"/>
      <c r="X179" s="88"/>
      <c r="Y179" s="88"/>
      <c r="Z179" s="88"/>
    </row>
    <row r="180" spans="1:26" ht="12.75" customHeight="1" x14ac:dyDescent="0.2">
      <c r="A180" s="6" t="s">
        <v>2190</v>
      </c>
      <c r="B180" s="6">
        <v>6</v>
      </c>
      <c r="C180" s="6" t="s">
        <v>2201</v>
      </c>
      <c r="E180" s="6" t="s">
        <v>2202</v>
      </c>
      <c r="F180" s="86" t="s">
        <v>1951</v>
      </c>
      <c r="G180" s="87"/>
      <c r="H180" s="87"/>
      <c r="I180" s="87"/>
      <c r="J180" s="87"/>
      <c r="K180" s="87"/>
      <c r="L180" s="87"/>
      <c r="M180" s="87"/>
      <c r="N180" s="87"/>
      <c r="O180" s="87"/>
      <c r="P180" s="87"/>
      <c r="Q180" s="87"/>
      <c r="R180" s="87"/>
      <c r="S180" s="87"/>
      <c r="T180" s="87"/>
      <c r="U180" s="87"/>
      <c r="V180" s="87"/>
      <c r="W180" s="87"/>
      <c r="X180" s="87"/>
      <c r="Y180" s="87"/>
      <c r="Z180" s="87"/>
    </row>
    <row r="181" spans="1:26" ht="12.75" customHeight="1" x14ac:dyDescent="0.2">
      <c r="A181" s="6" t="s">
        <v>2190</v>
      </c>
      <c r="B181" s="6">
        <v>7</v>
      </c>
      <c r="C181" s="6" t="s">
        <v>2203</v>
      </c>
      <c r="E181" s="6" t="s">
        <v>2204</v>
      </c>
      <c r="F181" s="86" t="s">
        <v>1951</v>
      </c>
    </row>
    <row r="182" spans="1:26" ht="12.75" customHeight="1" x14ac:dyDescent="0.2">
      <c r="A182" s="6" t="s">
        <v>2190</v>
      </c>
      <c r="B182" s="6">
        <v>8</v>
      </c>
      <c r="C182" s="6" t="s">
        <v>2205</v>
      </c>
      <c r="E182" s="6" t="s">
        <v>2206</v>
      </c>
      <c r="F182" s="86" t="s">
        <v>1951</v>
      </c>
    </row>
    <row r="183" spans="1:26" ht="12.75" customHeight="1" x14ac:dyDescent="0.2">
      <c r="A183" s="6" t="s">
        <v>2190</v>
      </c>
      <c r="B183" s="6">
        <v>9</v>
      </c>
      <c r="C183" s="6" t="s">
        <v>2207</v>
      </c>
      <c r="E183" s="6" t="s">
        <v>2208</v>
      </c>
      <c r="F183" s="86" t="s">
        <v>1951</v>
      </c>
    </row>
    <row r="184" spans="1:26" ht="12.75" customHeight="1" x14ac:dyDescent="0.2">
      <c r="A184" s="6" t="s">
        <v>2190</v>
      </c>
      <c r="B184" s="6">
        <v>10</v>
      </c>
      <c r="C184" s="6" t="s">
        <v>2209</v>
      </c>
      <c r="E184" s="6" t="s">
        <v>2210</v>
      </c>
      <c r="F184" s="86" t="s">
        <v>1951</v>
      </c>
    </row>
    <row r="185" spans="1:26" ht="15" customHeight="1" x14ac:dyDescent="0.2">
      <c r="A185" s="6" t="s">
        <v>2190</v>
      </c>
      <c r="B185" s="6">
        <v>96</v>
      </c>
      <c r="C185" s="6" t="s">
        <v>2211</v>
      </c>
      <c r="E185" s="6" t="s">
        <v>2020</v>
      </c>
      <c r="F185" s="86" t="s">
        <v>1951</v>
      </c>
    </row>
    <row r="186" spans="1:26" ht="12.75" customHeight="1" x14ac:dyDescent="0.2">
      <c r="A186" s="6" t="s">
        <v>2190</v>
      </c>
      <c r="B186" s="6">
        <v>98</v>
      </c>
      <c r="C186" s="6" t="s">
        <v>2212</v>
      </c>
      <c r="E186" s="6" t="s">
        <v>2091</v>
      </c>
      <c r="F186" s="86" t="s">
        <v>1951</v>
      </c>
    </row>
    <row r="187" spans="1:26" ht="12.75" customHeight="1" x14ac:dyDescent="0.2">
      <c r="A187" s="6" t="s">
        <v>2190</v>
      </c>
      <c r="B187" s="6">
        <v>99</v>
      </c>
      <c r="C187" s="6" t="s">
        <v>2213</v>
      </c>
      <c r="E187" s="6" t="s">
        <v>2214</v>
      </c>
      <c r="F187" s="86" t="s">
        <v>1951</v>
      </c>
    </row>
    <row r="188" spans="1:26" ht="12.75" customHeight="1" x14ac:dyDescent="0.2">
      <c r="A188" s="6" t="s">
        <v>2215</v>
      </c>
      <c r="B188" s="6">
        <v>6</v>
      </c>
      <c r="C188" s="6" t="s">
        <v>2216</v>
      </c>
      <c r="E188" s="6" t="s">
        <v>2217</v>
      </c>
      <c r="F188" s="86" t="s">
        <v>1951</v>
      </c>
      <c r="G188" s="7"/>
      <c r="H188" s="7"/>
      <c r="I188" s="7"/>
      <c r="J188" s="7"/>
      <c r="K188" s="7"/>
      <c r="L188" s="7"/>
      <c r="M188" s="7"/>
      <c r="N188" s="7"/>
      <c r="O188" s="7"/>
      <c r="P188" s="7"/>
      <c r="Q188" s="7"/>
      <c r="R188" s="7"/>
      <c r="S188" s="7"/>
      <c r="T188" s="7"/>
      <c r="U188" s="7"/>
      <c r="V188" s="7"/>
      <c r="W188" s="7"/>
      <c r="X188" s="7"/>
      <c r="Y188" s="7"/>
      <c r="Z188" s="7"/>
    </row>
    <row r="189" spans="1:26" ht="12.75" customHeight="1" x14ac:dyDescent="0.2">
      <c r="A189" s="6" t="s">
        <v>2215</v>
      </c>
      <c r="B189" s="6">
        <v>3</v>
      </c>
      <c r="C189" s="6" t="s">
        <v>2218</v>
      </c>
      <c r="E189" s="6" t="s">
        <v>2219</v>
      </c>
      <c r="F189" s="86" t="s">
        <v>1951</v>
      </c>
    </row>
    <row r="190" spans="1:26" ht="12.75" customHeight="1" x14ac:dyDescent="0.2">
      <c r="A190" s="6" t="s">
        <v>2215</v>
      </c>
      <c r="B190" s="6">
        <v>1</v>
      </c>
      <c r="C190" s="6" t="s">
        <v>2220</v>
      </c>
      <c r="E190" s="6" t="s">
        <v>2221</v>
      </c>
      <c r="F190" s="86" t="s">
        <v>1951</v>
      </c>
    </row>
    <row r="191" spans="1:26" ht="12.75" customHeight="1" x14ac:dyDescent="0.2">
      <c r="A191" s="6" t="s">
        <v>2215</v>
      </c>
      <c r="B191" s="6">
        <v>2</v>
      </c>
      <c r="C191" s="6" t="s">
        <v>2222</v>
      </c>
      <c r="E191" s="6" t="s">
        <v>2223</v>
      </c>
      <c r="F191" s="86" t="s">
        <v>1951</v>
      </c>
    </row>
    <row r="192" spans="1:26" ht="12.75" customHeight="1" x14ac:dyDescent="0.2">
      <c r="A192" s="6" t="s">
        <v>2215</v>
      </c>
      <c r="B192" s="6">
        <v>5</v>
      </c>
      <c r="C192" s="6" t="s">
        <v>2224</v>
      </c>
      <c r="E192" s="6" t="s">
        <v>2225</v>
      </c>
      <c r="F192" s="86" t="s">
        <v>1951</v>
      </c>
    </row>
    <row r="193" spans="1:26" ht="12.75" customHeight="1" x14ac:dyDescent="0.2">
      <c r="A193" s="6" t="s">
        <v>2215</v>
      </c>
      <c r="B193" s="6">
        <v>96</v>
      </c>
      <c r="C193" s="6" t="s">
        <v>2211</v>
      </c>
      <c r="E193" s="6" t="s">
        <v>2020</v>
      </c>
      <c r="F193" s="86" t="s">
        <v>1951</v>
      </c>
    </row>
    <row r="194" spans="1:26" ht="12.75" customHeight="1" x14ac:dyDescent="0.2">
      <c r="A194" s="6" t="s">
        <v>2226</v>
      </c>
      <c r="B194" s="6">
        <v>1</v>
      </c>
      <c r="C194" s="6" t="s">
        <v>2227</v>
      </c>
      <c r="E194" s="6" t="s">
        <v>2228</v>
      </c>
      <c r="F194" s="86" t="s">
        <v>1951</v>
      </c>
      <c r="G194" s="87"/>
      <c r="H194" s="87"/>
      <c r="I194" s="87"/>
      <c r="J194" s="87"/>
      <c r="K194" s="87"/>
      <c r="L194" s="87"/>
      <c r="M194" s="87"/>
      <c r="N194" s="87"/>
      <c r="O194" s="87"/>
      <c r="P194" s="87"/>
      <c r="Q194" s="87"/>
      <c r="R194" s="87"/>
      <c r="S194" s="87"/>
      <c r="T194" s="87"/>
      <c r="U194" s="87"/>
      <c r="V194" s="87"/>
      <c r="W194" s="87"/>
      <c r="X194" s="87"/>
      <c r="Y194" s="87"/>
      <c r="Z194" s="87"/>
    </row>
    <row r="195" spans="1:26" ht="12.75" customHeight="1" x14ac:dyDescent="0.2">
      <c r="A195" s="6" t="s">
        <v>2226</v>
      </c>
      <c r="B195" s="6">
        <v>2</v>
      </c>
      <c r="C195" s="6" t="s">
        <v>2229</v>
      </c>
      <c r="E195" s="6" t="s">
        <v>2230</v>
      </c>
      <c r="F195" s="86" t="s">
        <v>1951</v>
      </c>
      <c r="G195" s="87"/>
      <c r="H195" s="87"/>
      <c r="I195" s="87"/>
      <c r="J195" s="87"/>
      <c r="K195" s="87"/>
      <c r="L195" s="87"/>
      <c r="M195" s="87"/>
      <c r="N195" s="87"/>
      <c r="O195" s="87"/>
      <c r="P195" s="87"/>
      <c r="Q195" s="87"/>
      <c r="R195" s="87"/>
      <c r="S195" s="87"/>
      <c r="T195" s="87"/>
      <c r="U195" s="87"/>
      <c r="V195" s="87"/>
      <c r="W195" s="87"/>
      <c r="X195" s="87"/>
      <c r="Y195" s="87"/>
      <c r="Z195" s="87"/>
    </row>
    <row r="196" spans="1:26" ht="12.75" customHeight="1" x14ac:dyDescent="0.2">
      <c r="A196" s="6" t="s">
        <v>2226</v>
      </c>
      <c r="B196" s="6">
        <v>3</v>
      </c>
      <c r="C196" s="6" t="s">
        <v>2231</v>
      </c>
      <c r="E196" s="6" t="s">
        <v>2232</v>
      </c>
      <c r="F196" s="86" t="s">
        <v>1951</v>
      </c>
      <c r="G196" s="87"/>
      <c r="H196" s="87"/>
      <c r="I196" s="87"/>
      <c r="J196" s="87"/>
      <c r="K196" s="87"/>
      <c r="L196" s="87"/>
      <c r="M196" s="87"/>
      <c r="N196" s="87"/>
      <c r="O196" s="87"/>
      <c r="P196" s="87"/>
      <c r="Q196" s="87"/>
      <c r="R196" s="87"/>
      <c r="S196" s="87"/>
      <c r="T196" s="87"/>
      <c r="U196" s="87"/>
      <c r="V196" s="87"/>
      <c r="W196" s="87"/>
      <c r="X196" s="87"/>
      <c r="Y196" s="87"/>
      <c r="Z196" s="87"/>
    </row>
    <row r="197" spans="1:26" ht="12.75" customHeight="1" x14ac:dyDescent="0.2">
      <c r="A197" s="6" t="s">
        <v>2226</v>
      </c>
      <c r="B197" s="6">
        <v>4</v>
      </c>
      <c r="C197" s="6" t="s">
        <v>2233</v>
      </c>
      <c r="E197" s="6" t="s">
        <v>2234</v>
      </c>
      <c r="F197" s="86" t="s">
        <v>1951</v>
      </c>
      <c r="G197" s="87"/>
      <c r="H197" s="87"/>
      <c r="I197" s="87"/>
      <c r="J197" s="87"/>
      <c r="K197" s="87"/>
      <c r="L197" s="87"/>
      <c r="M197" s="87"/>
      <c r="N197" s="87"/>
      <c r="O197" s="87"/>
      <c r="P197" s="87"/>
      <c r="Q197" s="87"/>
      <c r="R197" s="87"/>
      <c r="S197" s="87"/>
      <c r="T197" s="87"/>
      <c r="U197" s="87"/>
      <c r="V197" s="87"/>
      <c r="W197" s="87"/>
      <c r="X197" s="87"/>
      <c r="Y197" s="87"/>
      <c r="Z197" s="87"/>
    </row>
    <row r="198" spans="1:26" ht="12.75" customHeight="1" x14ac:dyDescent="0.2">
      <c r="A198" s="6" t="s">
        <v>2226</v>
      </c>
      <c r="B198" s="6">
        <v>5</v>
      </c>
      <c r="C198" s="6" t="s">
        <v>2235</v>
      </c>
      <c r="E198" s="6" t="s">
        <v>2236</v>
      </c>
      <c r="F198" s="86" t="s">
        <v>1951</v>
      </c>
      <c r="G198" s="87"/>
      <c r="H198" s="87"/>
      <c r="I198" s="87"/>
      <c r="J198" s="87"/>
      <c r="K198" s="87"/>
      <c r="L198" s="87"/>
      <c r="M198" s="87"/>
      <c r="N198" s="87"/>
      <c r="O198" s="87"/>
      <c r="P198" s="87"/>
      <c r="Q198" s="87"/>
      <c r="R198" s="87"/>
      <c r="S198" s="87"/>
      <c r="T198" s="87"/>
      <c r="U198" s="87"/>
      <c r="V198" s="87"/>
      <c r="W198" s="87"/>
      <c r="X198" s="87"/>
      <c r="Y198" s="87"/>
      <c r="Z198" s="87"/>
    </row>
    <row r="199" spans="1:26" ht="12.75" customHeight="1" x14ac:dyDescent="0.2">
      <c r="A199" s="6" t="s">
        <v>2226</v>
      </c>
      <c r="B199" s="6">
        <v>6</v>
      </c>
      <c r="C199" s="6" t="s">
        <v>2237</v>
      </c>
      <c r="E199" s="6" t="s">
        <v>2238</v>
      </c>
      <c r="F199" s="86" t="s">
        <v>1951</v>
      </c>
      <c r="G199" s="87"/>
      <c r="H199" s="87"/>
      <c r="I199" s="87"/>
      <c r="J199" s="87"/>
      <c r="K199" s="87"/>
      <c r="L199" s="87"/>
      <c r="M199" s="87"/>
      <c r="N199" s="87"/>
      <c r="O199" s="87"/>
      <c r="P199" s="87"/>
      <c r="Q199" s="87"/>
      <c r="R199" s="87"/>
      <c r="S199" s="87"/>
      <c r="T199" s="87"/>
      <c r="U199" s="87"/>
      <c r="V199" s="87"/>
      <c r="W199" s="87"/>
      <c r="X199" s="87"/>
      <c r="Y199" s="87"/>
      <c r="Z199" s="87"/>
    </row>
    <row r="200" spans="1:26" ht="12.75" customHeight="1" x14ac:dyDescent="0.2">
      <c r="A200" s="6" t="s">
        <v>2226</v>
      </c>
      <c r="B200" s="6">
        <v>7</v>
      </c>
      <c r="C200" s="6" t="s">
        <v>2239</v>
      </c>
      <c r="E200" s="6" t="s">
        <v>2240</v>
      </c>
      <c r="F200" s="86" t="s">
        <v>1951</v>
      </c>
      <c r="G200" s="87"/>
      <c r="H200" s="87"/>
      <c r="I200" s="87"/>
      <c r="J200" s="87"/>
      <c r="K200" s="87"/>
      <c r="L200" s="87"/>
      <c r="M200" s="87"/>
      <c r="N200" s="87"/>
      <c r="O200" s="87"/>
      <c r="P200" s="87"/>
      <c r="Q200" s="87"/>
      <c r="R200" s="87"/>
      <c r="S200" s="87"/>
      <c r="T200" s="87"/>
      <c r="U200" s="87"/>
      <c r="V200" s="87"/>
      <c r="W200" s="87"/>
      <c r="X200" s="87"/>
      <c r="Y200" s="87"/>
      <c r="Z200" s="87"/>
    </row>
    <row r="201" spans="1:26" ht="12.75" customHeight="1" x14ac:dyDescent="0.2">
      <c r="A201" s="6" t="s">
        <v>2226</v>
      </c>
      <c r="B201" s="6">
        <v>96</v>
      </c>
      <c r="C201" s="6" t="s">
        <v>730</v>
      </c>
      <c r="E201" s="6" t="s">
        <v>2020</v>
      </c>
      <c r="F201" s="86" t="s">
        <v>1951</v>
      </c>
      <c r="G201" s="87"/>
      <c r="H201" s="87"/>
      <c r="I201" s="87"/>
      <c r="J201" s="87"/>
      <c r="K201" s="87"/>
      <c r="L201" s="87"/>
      <c r="M201" s="87"/>
      <c r="N201" s="87"/>
      <c r="O201" s="87"/>
      <c r="P201" s="87"/>
      <c r="Q201" s="87"/>
      <c r="R201" s="87"/>
      <c r="S201" s="87"/>
      <c r="T201" s="87"/>
      <c r="U201" s="87"/>
      <c r="V201" s="87"/>
      <c r="W201" s="87"/>
      <c r="X201" s="87"/>
      <c r="Y201" s="87"/>
      <c r="Z201" s="87"/>
    </row>
    <row r="202" spans="1:26" ht="12.75" customHeight="1" x14ac:dyDescent="0.2">
      <c r="A202" s="6" t="s">
        <v>2241</v>
      </c>
      <c r="B202" s="6">
        <v>1</v>
      </c>
      <c r="C202" s="6" t="s">
        <v>2242</v>
      </c>
      <c r="E202" s="6" t="s">
        <v>2242</v>
      </c>
      <c r="F202" s="86" t="s">
        <v>1951</v>
      </c>
      <c r="G202" s="87"/>
      <c r="H202" s="87"/>
      <c r="I202" s="87"/>
      <c r="J202" s="87"/>
      <c r="K202" s="87"/>
      <c r="L202" s="87"/>
      <c r="M202" s="87"/>
      <c r="N202" s="87"/>
      <c r="O202" s="87"/>
      <c r="P202" s="87"/>
      <c r="Q202" s="87"/>
      <c r="R202" s="87"/>
      <c r="S202" s="87"/>
      <c r="T202" s="87"/>
      <c r="U202" s="87"/>
      <c r="V202" s="87"/>
      <c r="W202" s="87"/>
      <c r="X202" s="87"/>
      <c r="Y202" s="87"/>
      <c r="Z202" s="87"/>
    </row>
    <row r="203" spans="1:26" ht="12.75" customHeight="1" x14ac:dyDescent="0.2">
      <c r="A203" s="6" t="s">
        <v>2241</v>
      </c>
      <c r="B203" s="6">
        <v>2</v>
      </c>
      <c r="C203" s="6" t="s">
        <v>2243</v>
      </c>
      <c r="E203" s="6" t="s">
        <v>2243</v>
      </c>
      <c r="F203" s="86" t="s">
        <v>1951</v>
      </c>
      <c r="G203" s="87"/>
      <c r="H203" s="87"/>
      <c r="I203" s="87"/>
      <c r="J203" s="87"/>
      <c r="K203" s="87"/>
      <c r="L203" s="87"/>
      <c r="M203" s="87"/>
      <c r="N203" s="87"/>
      <c r="O203" s="87"/>
      <c r="P203" s="87"/>
      <c r="Q203" s="87"/>
      <c r="R203" s="87"/>
      <c r="S203" s="87"/>
      <c r="T203" s="87"/>
      <c r="U203" s="87"/>
      <c r="V203" s="87"/>
      <c r="W203" s="87"/>
      <c r="X203" s="87"/>
      <c r="Y203" s="87"/>
      <c r="Z203" s="87"/>
    </row>
    <row r="204" spans="1:26" ht="12.75" customHeight="1" x14ac:dyDescent="0.2">
      <c r="A204" s="6" t="s">
        <v>2241</v>
      </c>
      <c r="B204" s="6">
        <v>3</v>
      </c>
      <c r="C204" s="6" t="s">
        <v>2244</v>
      </c>
      <c r="E204" s="6" t="s">
        <v>2244</v>
      </c>
      <c r="F204" s="86" t="s">
        <v>1951</v>
      </c>
      <c r="G204" s="87"/>
      <c r="H204" s="87"/>
      <c r="I204" s="87"/>
      <c r="J204" s="87"/>
      <c r="K204" s="87"/>
      <c r="L204" s="87"/>
      <c r="M204" s="87"/>
      <c r="N204" s="87"/>
      <c r="O204" s="87"/>
      <c r="P204" s="87"/>
      <c r="Q204" s="87"/>
      <c r="R204" s="87"/>
      <c r="S204" s="87"/>
      <c r="T204" s="87"/>
      <c r="U204" s="87"/>
      <c r="V204" s="87"/>
      <c r="W204" s="87"/>
      <c r="X204" s="87"/>
      <c r="Y204" s="87"/>
      <c r="Z204" s="87"/>
    </row>
    <row r="205" spans="1:26" ht="12.75" customHeight="1" x14ac:dyDescent="0.2">
      <c r="A205" s="6" t="s">
        <v>2241</v>
      </c>
      <c r="B205" s="6">
        <v>96</v>
      </c>
      <c r="C205" s="6" t="s">
        <v>730</v>
      </c>
      <c r="E205" s="6" t="s">
        <v>2020</v>
      </c>
      <c r="F205" s="86" t="s">
        <v>1951</v>
      </c>
      <c r="G205" s="87"/>
      <c r="H205" s="87"/>
      <c r="I205" s="87"/>
      <c r="J205" s="87"/>
      <c r="K205" s="87"/>
      <c r="L205" s="87"/>
      <c r="M205" s="87"/>
      <c r="N205" s="87"/>
      <c r="O205" s="87"/>
      <c r="P205" s="87"/>
      <c r="Q205" s="87"/>
      <c r="R205" s="87"/>
      <c r="S205" s="87"/>
      <c r="T205" s="87"/>
      <c r="U205" s="87"/>
      <c r="V205" s="87"/>
      <c r="W205" s="87"/>
      <c r="X205" s="87"/>
      <c r="Y205" s="87"/>
      <c r="Z205" s="87"/>
    </row>
    <row r="206" spans="1:26" ht="12.75" customHeight="1" x14ac:dyDescent="0.2">
      <c r="A206" s="6" t="s">
        <v>2241</v>
      </c>
      <c r="B206" s="6">
        <v>-9998</v>
      </c>
      <c r="C206" s="6" t="s">
        <v>2116</v>
      </c>
      <c r="E206" s="6" t="s">
        <v>2091</v>
      </c>
      <c r="F206" s="86" t="s">
        <v>1951</v>
      </c>
      <c r="G206" s="87"/>
      <c r="H206" s="87"/>
      <c r="I206" s="87"/>
      <c r="J206" s="87"/>
      <c r="K206" s="87"/>
      <c r="L206" s="87"/>
      <c r="M206" s="87"/>
      <c r="N206" s="87"/>
      <c r="O206" s="87"/>
      <c r="P206" s="87"/>
      <c r="Q206" s="87"/>
      <c r="R206" s="87"/>
      <c r="S206" s="87"/>
      <c r="T206" s="87"/>
      <c r="U206" s="87"/>
      <c r="V206" s="87"/>
      <c r="W206" s="87"/>
      <c r="X206" s="87"/>
      <c r="Y206" s="87"/>
      <c r="Z206" s="87"/>
    </row>
    <row r="207" spans="1:26" ht="12.75" customHeight="1" x14ac:dyDescent="0.2">
      <c r="A207" s="6" t="s">
        <v>2241</v>
      </c>
      <c r="B207" s="6">
        <v>-9777</v>
      </c>
      <c r="C207" s="6" t="s">
        <v>2162</v>
      </c>
      <c r="E207" s="6" t="s">
        <v>2093</v>
      </c>
      <c r="F207" s="86" t="s">
        <v>1951</v>
      </c>
      <c r="G207" s="87"/>
      <c r="H207" s="87"/>
      <c r="I207" s="87"/>
      <c r="J207" s="87"/>
      <c r="K207" s="87"/>
      <c r="L207" s="87"/>
      <c r="M207" s="87"/>
      <c r="N207" s="87"/>
      <c r="O207" s="87"/>
      <c r="P207" s="87"/>
      <c r="Q207" s="87"/>
      <c r="R207" s="87"/>
      <c r="S207" s="87"/>
      <c r="T207" s="87"/>
      <c r="U207" s="87"/>
      <c r="V207" s="87"/>
      <c r="W207" s="87"/>
      <c r="X207" s="87"/>
      <c r="Y207" s="87"/>
      <c r="Z207" s="87"/>
    </row>
    <row r="208" spans="1:26" ht="12.75" customHeight="1" x14ac:dyDescent="0.2">
      <c r="A208" s="6" t="s">
        <v>2245</v>
      </c>
      <c r="B208" s="6">
        <v>1</v>
      </c>
      <c r="C208" s="6" t="s">
        <v>2246</v>
      </c>
      <c r="E208" s="6" t="s">
        <v>2247</v>
      </c>
      <c r="F208" s="86" t="s">
        <v>1951</v>
      </c>
      <c r="G208" s="87"/>
      <c r="H208" s="87"/>
      <c r="I208" s="87"/>
      <c r="J208" s="87"/>
      <c r="K208" s="87"/>
      <c r="L208" s="87"/>
      <c r="M208" s="87"/>
      <c r="N208" s="87"/>
      <c r="O208" s="87"/>
      <c r="P208" s="87"/>
      <c r="Q208" s="87"/>
      <c r="R208" s="87"/>
      <c r="S208" s="87"/>
      <c r="T208" s="87"/>
      <c r="U208" s="87"/>
      <c r="V208" s="87"/>
      <c r="W208" s="87"/>
      <c r="X208" s="87"/>
      <c r="Y208" s="87"/>
      <c r="Z208" s="87"/>
    </row>
    <row r="209" spans="1:26" ht="12.75" customHeight="1" x14ac:dyDescent="0.2">
      <c r="A209" s="6" t="s">
        <v>2245</v>
      </c>
      <c r="B209" s="6">
        <v>2</v>
      </c>
      <c r="C209" s="6" t="s">
        <v>2248</v>
      </c>
      <c r="E209" s="6" t="s">
        <v>2249</v>
      </c>
      <c r="F209" s="86" t="s">
        <v>1951</v>
      </c>
      <c r="G209" s="87"/>
      <c r="H209" s="87"/>
      <c r="I209" s="87"/>
      <c r="J209" s="87"/>
      <c r="K209" s="87"/>
      <c r="L209" s="87"/>
      <c r="M209" s="87"/>
      <c r="N209" s="87"/>
      <c r="O209" s="87"/>
      <c r="P209" s="87"/>
      <c r="Q209" s="87"/>
      <c r="R209" s="87"/>
      <c r="S209" s="87"/>
      <c r="T209" s="87"/>
      <c r="U209" s="87"/>
      <c r="V209" s="87"/>
      <c r="W209" s="87"/>
      <c r="X209" s="87"/>
      <c r="Y209" s="87"/>
      <c r="Z209" s="87"/>
    </row>
    <row r="210" spans="1:26" ht="12.75" customHeight="1" x14ac:dyDescent="0.2">
      <c r="A210" s="6" t="s">
        <v>2245</v>
      </c>
      <c r="B210" s="6">
        <v>3</v>
      </c>
      <c r="C210" s="6" t="s">
        <v>2250</v>
      </c>
      <c r="E210" s="6" t="s">
        <v>2251</v>
      </c>
      <c r="F210" s="86" t="s">
        <v>1951</v>
      </c>
      <c r="G210" s="87"/>
      <c r="H210" s="87"/>
      <c r="I210" s="87"/>
      <c r="J210" s="87"/>
      <c r="K210" s="87"/>
      <c r="L210" s="87"/>
      <c r="M210" s="87"/>
      <c r="N210" s="87"/>
      <c r="O210" s="87"/>
      <c r="P210" s="87"/>
      <c r="Q210" s="87"/>
      <c r="R210" s="87"/>
      <c r="S210" s="87"/>
      <c r="T210" s="87"/>
      <c r="U210" s="87"/>
      <c r="V210" s="87"/>
      <c r="W210" s="87"/>
      <c r="X210" s="87"/>
      <c r="Y210" s="87"/>
      <c r="Z210" s="87"/>
    </row>
    <row r="211" spans="1:26" ht="12.75" customHeight="1" x14ac:dyDescent="0.2">
      <c r="A211" s="6" t="s">
        <v>2245</v>
      </c>
      <c r="B211" s="6">
        <v>96</v>
      </c>
      <c r="C211" s="6" t="s">
        <v>730</v>
      </c>
      <c r="E211" s="6" t="s">
        <v>2020</v>
      </c>
      <c r="F211" s="86" t="s">
        <v>1951</v>
      </c>
      <c r="G211" s="87"/>
      <c r="H211" s="87"/>
      <c r="I211" s="87"/>
      <c r="J211" s="87"/>
      <c r="K211" s="87"/>
      <c r="L211" s="87"/>
      <c r="M211" s="87"/>
      <c r="N211" s="87"/>
      <c r="O211" s="87"/>
      <c r="P211" s="87"/>
      <c r="Q211" s="87"/>
      <c r="R211" s="87"/>
      <c r="S211" s="87"/>
      <c r="T211" s="87"/>
      <c r="U211" s="87"/>
      <c r="V211" s="87"/>
      <c r="W211" s="87"/>
      <c r="X211" s="87"/>
      <c r="Y211" s="87"/>
      <c r="Z211" s="87"/>
    </row>
    <row r="212" spans="1:26" ht="12.75" customHeight="1" x14ac:dyDescent="0.2">
      <c r="A212" s="6" t="s">
        <v>2245</v>
      </c>
      <c r="B212" s="6">
        <v>99</v>
      </c>
      <c r="C212" s="6" t="s">
        <v>2252</v>
      </c>
      <c r="E212" s="6" t="s">
        <v>2253</v>
      </c>
      <c r="F212" s="86" t="s">
        <v>1951</v>
      </c>
      <c r="G212" s="87"/>
      <c r="H212" s="87"/>
      <c r="I212" s="87"/>
      <c r="J212" s="87"/>
      <c r="K212" s="87"/>
      <c r="L212" s="87"/>
      <c r="M212" s="87"/>
      <c r="N212" s="87"/>
      <c r="O212" s="87"/>
      <c r="P212" s="87"/>
      <c r="Q212" s="87"/>
      <c r="R212" s="87"/>
      <c r="S212" s="87"/>
      <c r="T212" s="87"/>
      <c r="U212" s="87"/>
      <c r="V212" s="87"/>
      <c r="W212" s="87"/>
      <c r="X212" s="87"/>
      <c r="Y212" s="87"/>
      <c r="Z212" s="87"/>
    </row>
    <row r="213" spans="1:26" ht="12.75" customHeight="1" x14ac:dyDescent="0.2">
      <c r="A213" s="6" t="s">
        <v>2245</v>
      </c>
      <c r="B213" s="6">
        <v>98</v>
      </c>
      <c r="C213" s="6" t="s">
        <v>2212</v>
      </c>
      <c r="E213" s="6" t="s">
        <v>2091</v>
      </c>
      <c r="F213" s="86" t="s">
        <v>1951</v>
      </c>
      <c r="G213" s="87"/>
      <c r="H213" s="87"/>
      <c r="I213" s="87"/>
      <c r="J213" s="87"/>
      <c r="K213" s="87"/>
      <c r="L213" s="87"/>
      <c r="M213" s="87"/>
      <c r="N213" s="87"/>
      <c r="O213" s="87"/>
      <c r="P213" s="87"/>
      <c r="Q213" s="87"/>
      <c r="R213" s="87"/>
      <c r="S213" s="87"/>
      <c r="T213" s="87"/>
      <c r="U213" s="87"/>
      <c r="V213" s="87"/>
      <c r="W213" s="87"/>
      <c r="X213" s="87"/>
      <c r="Y213" s="87"/>
      <c r="Z213" s="87"/>
    </row>
    <row r="214" spans="1:26" ht="12.75" customHeight="1" x14ac:dyDescent="0.2">
      <c r="A214" s="6" t="s">
        <v>2254</v>
      </c>
      <c r="B214" s="6">
        <v>1</v>
      </c>
      <c r="C214" s="6" t="s">
        <v>2255</v>
      </c>
      <c r="E214" s="6" t="s">
        <v>2256</v>
      </c>
      <c r="F214" s="86" t="s">
        <v>683</v>
      </c>
    </row>
    <row r="215" spans="1:26" ht="12.75" customHeight="1" x14ac:dyDescent="0.2">
      <c r="A215" s="6" t="s">
        <v>2254</v>
      </c>
      <c r="B215" s="6">
        <v>2</v>
      </c>
      <c r="C215" s="6" t="s">
        <v>2257</v>
      </c>
      <c r="E215" s="6" t="s">
        <v>2258</v>
      </c>
      <c r="F215" s="86" t="s">
        <v>683</v>
      </c>
    </row>
    <row r="216" spans="1:26" ht="12.75" customHeight="1" x14ac:dyDescent="0.2">
      <c r="A216" s="6" t="s">
        <v>2254</v>
      </c>
      <c r="B216" s="6">
        <v>96</v>
      </c>
      <c r="C216" s="6" t="s">
        <v>2259</v>
      </c>
      <c r="E216" s="6" t="s">
        <v>2260</v>
      </c>
      <c r="F216" s="86" t="s">
        <v>683</v>
      </c>
    </row>
    <row r="217" spans="1:26" ht="12.75" customHeight="1" x14ac:dyDescent="0.2">
      <c r="A217" s="6" t="s">
        <v>2261</v>
      </c>
      <c r="B217" s="6">
        <v>9</v>
      </c>
      <c r="C217" s="6" t="s">
        <v>2262</v>
      </c>
      <c r="E217" s="6" t="s">
        <v>2262</v>
      </c>
      <c r="F217" s="86" t="s">
        <v>683</v>
      </c>
      <c r="G217" s="87"/>
      <c r="H217" s="87"/>
      <c r="I217" s="87"/>
      <c r="J217" s="87"/>
      <c r="K217" s="87"/>
      <c r="L217" s="87"/>
      <c r="M217" s="87"/>
      <c r="N217" s="87"/>
      <c r="O217" s="87"/>
      <c r="P217" s="87"/>
      <c r="Q217" s="87"/>
      <c r="R217" s="87"/>
      <c r="S217" s="87"/>
      <c r="T217" s="87"/>
      <c r="U217" s="87"/>
      <c r="V217" s="87"/>
      <c r="W217" s="87"/>
      <c r="X217" s="87"/>
      <c r="Y217" s="87"/>
      <c r="Z217" s="87"/>
    </row>
    <row r="218" spans="1:26" ht="12.75" customHeight="1" x14ac:dyDescent="0.2">
      <c r="A218" s="6" t="s">
        <v>2261</v>
      </c>
      <c r="B218" s="6">
        <v>6</v>
      </c>
      <c r="C218" s="6" t="s">
        <v>2263</v>
      </c>
      <c r="E218" s="6" t="s">
        <v>2264</v>
      </c>
      <c r="F218" s="86" t="s">
        <v>683</v>
      </c>
      <c r="G218" s="87"/>
      <c r="H218" s="87"/>
      <c r="I218" s="87"/>
      <c r="J218" s="87"/>
      <c r="K218" s="87"/>
      <c r="L218" s="87"/>
      <c r="M218" s="87"/>
      <c r="N218" s="87"/>
      <c r="O218" s="87"/>
      <c r="P218" s="87"/>
      <c r="Q218" s="87"/>
      <c r="R218" s="87"/>
      <c r="S218" s="87"/>
      <c r="T218" s="87"/>
      <c r="U218" s="87"/>
      <c r="V218" s="87"/>
      <c r="W218" s="87"/>
      <c r="X218" s="87"/>
      <c r="Y218" s="87"/>
      <c r="Z218" s="87"/>
    </row>
    <row r="219" spans="1:26" ht="12.75" customHeight="1" x14ac:dyDescent="0.2">
      <c r="A219" s="6" t="s">
        <v>2261</v>
      </c>
      <c r="B219" s="6">
        <v>1</v>
      </c>
      <c r="C219" s="6" t="s">
        <v>2265</v>
      </c>
      <c r="E219" s="6" t="s">
        <v>2266</v>
      </c>
      <c r="F219" s="86" t="s">
        <v>683</v>
      </c>
      <c r="G219" s="87"/>
      <c r="H219" s="87"/>
    </row>
    <row r="220" spans="1:26" ht="12.75" customHeight="1" x14ac:dyDescent="0.2">
      <c r="A220" s="6" t="s">
        <v>2261</v>
      </c>
      <c r="B220" s="6">
        <v>7</v>
      </c>
      <c r="C220" s="6" t="s">
        <v>2267</v>
      </c>
      <c r="E220" s="6" t="s">
        <v>2268</v>
      </c>
      <c r="F220" s="86" t="s">
        <v>683</v>
      </c>
      <c r="G220" s="87"/>
      <c r="H220" s="87"/>
    </row>
    <row r="221" spans="1:26" ht="12.75" customHeight="1" x14ac:dyDescent="0.2">
      <c r="A221" s="6" t="s">
        <v>2261</v>
      </c>
      <c r="B221" s="6">
        <v>8</v>
      </c>
      <c r="C221" s="6" t="s">
        <v>2269</v>
      </c>
      <c r="E221" s="6" t="s">
        <v>2270</v>
      </c>
      <c r="F221" s="86" t="s">
        <v>683</v>
      </c>
      <c r="G221" s="87"/>
      <c r="H221" s="87"/>
      <c r="I221" s="87"/>
      <c r="J221" s="87"/>
      <c r="K221" s="87"/>
      <c r="L221" s="87"/>
      <c r="M221" s="87"/>
      <c r="N221" s="87"/>
      <c r="O221" s="87"/>
      <c r="P221" s="87"/>
      <c r="Q221" s="87"/>
      <c r="R221" s="87"/>
      <c r="S221" s="87"/>
      <c r="T221" s="87"/>
      <c r="U221" s="87"/>
      <c r="V221" s="87"/>
      <c r="W221" s="87"/>
      <c r="X221" s="87"/>
      <c r="Y221" s="87"/>
      <c r="Z221" s="87"/>
    </row>
    <row r="222" spans="1:26" ht="12.75" customHeight="1" x14ac:dyDescent="0.2">
      <c r="A222" s="6" t="s">
        <v>2261</v>
      </c>
      <c r="B222" s="6">
        <v>2</v>
      </c>
      <c r="C222" s="6" t="s">
        <v>2271</v>
      </c>
      <c r="E222" s="6" t="s">
        <v>2272</v>
      </c>
      <c r="F222" s="86" t="s">
        <v>683</v>
      </c>
      <c r="G222" s="87"/>
      <c r="H222" s="87"/>
      <c r="I222" s="87"/>
      <c r="J222" s="87"/>
      <c r="K222" s="87"/>
      <c r="L222" s="87"/>
      <c r="M222" s="87"/>
      <c r="N222" s="87"/>
      <c r="O222" s="87"/>
      <c r="P222" s="87"/>
      <c r="Q222" s="87"/>
      <c r="R222" s="87"/>
      <c r="S222" s="87"/>
      <c r="T222" s="87"/>
      <c r="U222" s="87"/>
      <c r="V222" s="87"/>
      <c r="W222" s="87"/>
      <c r="X222" s="87"/>
      <c r="Y222" s="87"/>
      <c r="Z222" s="87"/>
    </row>
    <row r="223" spans="1:26" ht="12.75" customHeight="1" x14ac:dyDescent="0.2">
      <c r="A223" s="6" t="s">
        <v>2261</v>
      </c>
      <c r="B223" s="6">
        <v>4</v>
      </c>
      <c r="C223" s="6" t="s">
        <v>2273</v>
      </c>
      <c r="E223" s="6" t="s">
        <v>2274</v>
      </c>
      <c r="F223" s="86" t="s">
        <v>683</v>
      </c>
      <c r="G223" s="87"/>
      <c r="H223" s="87"/>
      <c r="I223" s="87"/>
      <c r="J223" s="87"/>
      <c r="K223" s="87"/>
      <c r="L223" s="87"/>
      <c r="M223" s="87"/>
      <c r="N223" s="87"/>
      <c r="O223" s="87"/>
      <c r="P223" s="87"/>
      <c r="Q223" s="87"/>
      <c r="R223" s="87"/>
      <c r="S223" s="87"/>
      <c r="T223" s="87"/>
      <c r="U223" s="87"/>
      <c r="V223" s="87"/>
      <c r="W223" s="87"/>
      <c r="X223" s="87"/>
      <c r="Y223" s="87"/>
      <c r="Z223" s="87"/>
    </row>
    <row r="224" spans="1:26" ht="12.75" customHeight="1" x14ac:dyDescent="0.2">
      <c r="A224" s="6" t="s">
        <v>2261</v>
      </c>
      <c r="B224" s="6">
        <v>10</v>
      </c>
      <c r="C224" s="6" t="s">
        <v>2275</v>
      </c>
      <c r="E224" s="6" t="s">
        <v>2275</v>
      </c>
      <c r="F224" s="86" t="s">
        <v>683</v>
      </c>
      <c r="G224" s="87"/>
      <c r="H224" s="87"/>
      <c r="I224" s="87"/>
      <c r="J224" s="87"/>
      <c r="K224" s="87"/>
      <c r="L224" s="87"/>
      <c r="M224" s="87"/>
      <c r="N224" s="87"/>
      <c r="O224" s="87"/>
      <c r="P224" s="87"/>
      <c r="Q224" s="87"/>
      <c r="R224" s="87"/>
      <c r="S224" s="87"/>
      <c r="T224" s="87"/>
      <c r="U224" s="87"/>
      <c r="V224" s="87"/>
      <c r="W224" s="87"/>
      <c r="X224" s="87"/>
      <c r="Y224" s="87"/>
      <c r="Z224" s="87"/>
    </row>
    <row r="225" spans="1:26" ht="12.75" customHeight="1" x14ac:dyDescent="0.2">
      <c r="A225" s="6" t="s">
        <v>2261</v>
      </c>
      <c r="B225" s="6">
        <v>5</v>
      </c>
      <c r="C225" s="6" t="s">
        <v>2276</v>
      </c>
      <c r="E225" s="6" t="s">
        <v>2277</v>
      </c>
      <c r="F225" s="86" t="s">
        <v>683</v>
      </c>
      <c r="G225" s="87"/>
      <c r="H225" s="87"/>
      <c r="I225" s="87"/>
      <c r="J225" s="87"/>
      <c r="K225" s="87"/>
      <c r="L225" s="87"/>
      <c r="M225" s="87"/>
      <c r="N225" s="87"/>
      <c r="O225" s="87"/>
      <c r="P225" s="87"/>
      <c r="Q225" s="87"/>
      <c r="R225" s="87"/>
      <c r="S225" s="87"/>
      <c r="T225" s="87"/>
      <c r="U225" s="87"/>
      <c r="V225" s="87"/>
      <c r="W225" s="87"/>
      <c r="X225" s="87"/>
      <c r="Y225" s="87"/>
      <c r="Z225" s="87"/>
    </row>
    <row r="226" spans="1:26" ht="12.75" customHeight="1" x14ac:dyDescent="0.2">
      <c r="A226" s="6" t="s">
        <v>2261</v>
      </c>
      <c r="B226" s="6">
        <v>3</v>
      </c>
      <c r="C226" s="6" t="s">
        <v>2278</v>
      </c>
      <c r="E226" s="6" t="s">
        <v>2279</v>
      </c>
      <c r="F226" s="86" t="s">
        <v>683</v>
      </c>
      <c r="G226" s="87"/>
      <c r="H226" s="87"/>
      <c r="I226" s="87"/>
      <c r="J226" s="87"/>
      <c r="K226" s="87"/>
      <c r="L226" s="87"/>
      <c r="M226" s="87"/>
      <c r="N226" s="87"/>
      <c r="O226" s="87"/>
      <c r="P226" s="87"/>
      <c r="Q226" s="87"/>
      <c r="R226" s="87"/>
      <c r="S226" s="87"/>
      <c r="T226" s="87"/>
      <c r="U226" s="87"/>
      <c r="V226" s="87"/>
      <c r="W226" s="87"/>
      <c r="X226" s="87"/>
      <c r="Y226" s="87"/>
      <c r="Z226" s="87"/>
    </row>
    <row r="227" spans="1:26" ht="12.75" customHeight="1" x14ac:dyDescent="0.2">
      <c r="A227" s="6" t="s">
        <v>2261</v>
      </c>
      <c r="B227" s="6">
        <v>11</v>
      </c>
      <c r="C227" s="6" t="s">
        <v>2280</v>
      </c>
      <c r="E227" s="6" t="s">
        <v>2280</v>
      </c>
      <c r="F227" s="86" t="s">
        <v>683</v>
      </c>
      <c r="G227" s="87"/>
      <c r="H227" s="87"/>
      <c r="I227" s="87"/>
      <c r="J227" s="87"/>
      <c r="K227" s="87"/>
      <c r="L227" s="87"/>
      <c r="M227" s="87"/>
      <c r="N227" s="87"/>
      <c r="O227" s="87"/>
      <c r="P227" s="87"/>
      <c r="Q227" s="87"/>
      <c r="R227" s="87"/>
      <c r="S227" s="87"/>
      <c r="T227" s="87"/>
      <c r="U227" s="87"/>
      <c r="V227" s="87"/>
      <c r="W227" s="87"/>
      <c r="X227" s="87"/>
      <c r="Y227" s="87"/>
      <c r="Z227" s="87"/>
    </row>
    <row r="228" spans="1:26" ht="12.75" customHeight="1" x14ac:dyDescent="0.2">
      <c r="A228" s="6" t="s">
        <v>2261</v>
      </c>
      <c r="B228" s="6">
        <v>12</v>
      </c>
      <c r="C228" s="6" t="s">
        <v>2281</v>
      </c>
      <c r="E228" s="6" t="s">
        <v>2282</v>
      </c>
      <c r="F228" s="86" t="s">
        <v>683</v>
      </c>
      <c r="G228" s="87"/>
      <c r="H228" s="87"/>
      <c r="I228" s="87"/>
      <c r="J228" s="87"/>
      <c r="K228" s="87"/>
      <c r="L228" s="87"/>
      <c r="M228" s="87"/>
      <c r="N228" s="87"/>
      <c r="O228" s="87"/>
      <c r="P228" s="87"/>
      <c r="Q228" s="87"/>
      <c r="R228" s="87"/>
      <c r="S228" s="87"/>
      <c r="T228" s="87"/>
      <c r="U228" s="87"/>
      <c r="V228" s="87"/>
      <c r="W228" s="87"/>
      <c r="X228" s="87"/>
      <c r="Y228" s="87"/>
      <c r="Z228" s="87"/>
    </row>
    <row r="229" spans="1:26" ht="12.75" customHeight="1" x14ac:dyDescent="0.2">
      <c r="A229" s="6" t="s">
        <v>2261</v>
      </c>
      <c r="B229" s="6">
        <v>96</v>
      </c>
      <c r="C229" s="6" t="s">
        <v>730</v>
      </c>
      <c r="E229" s="6" t="s">
        <v>2020</v>
      </c>
      <c r="F229" s="86" t="s">
        <v>683</v>
      </c>
      <c r="G229" s="87"/>
      <c r="H229" s="87"/>
      <c r="I229" s="87"/>
      <c r="J229" s="87"/>
      <c r="K229" s="87"/>
      <c r="L229" s="87"/>
      <c r="M229" s="87"/>
      <c r="N229" s="87"/>
      <c r="O229" s="87"/>
      <c r="P229" s="87"/>
      <c r="Q229" s="87"/>
      <c r="R229" s="87"/>
      <c r="S229" s="87"/>
      <c r="T229" s="87"/>
      <c r="U229" s="87"/>
      <c r="V229" s="87"/>
      <c r="W229" s="87"/>
      <c r="X229" s="87"/>
      <c r="Y229" s="87"/>
      <c r="Z229" s="87"/>
    </row>
    <row r="230" spans="1:26" ht="12.75" customHeight="1" x14ac:dyDescent="0.2">
      <c r="A230" s="6" t="s">
        <v>2261</v>
      </c>
      <c r="B230" s="6">
        <v>98</v>
      </c>
      <c r="C230" s="6" t="s">
        <v>2116</v>
      </c>
      <c r="E230" s="6" t="s">
        <v>2091</v>
      </c>
      <c r="F230" s="86" t="s">
        <v>683</v>
      </c>
      <c r="G230" s="87"/>
      <c r="H230" s="87"/>
      <c r="I230" s="87"/>
      <c r="J230" s="87"/>
      <c r="K230" s="87"/>
      <c r="L230" s="87"/>
      <c r="M230" s="87"/>
      <c r="N230" s="87"/>
      <c r="O230" s="87"/>
      <c r="P230" s="87"/>
      <c r="Q230" s="87"/>
      <c r="R230" s="87"/>
      <c r="S230" s="87"/>
      <c r="T230" s="87"/>
      <c r="U230" s="87"/>
      <c r="V230" s="87"/>
      <c r="W230" s="87"/>
      <c r="X230" s="87"/>
      <c r="Y230" s="87"/>
      <c r="Z230" s="87"/>
    </row>
    <row r="231" spans="1:26" ht="12.75" customHeight="1" x14ac:dyDescent="0.2">
      <c r="A231" s="6" t="s">
        <v>1156</v>
      </c>
      <c r="B231" s="6" t="s">
        <v>2283</v>
      </c>
      <c r="C231" s="6" t="s">
        <v>2284</v>
      </c>
      <c r="E231" s="6" t="s">
        <v>2284</v>
      </c>
      <c r="F231" s="86" t="s">
        <v>683</v>
      </c>
      <c r="G231" s="87"/>
      <c r="H231" s="87"/>
      <c r="I231" s="87"/>
      <c r="J231" s="87"/>
      <c r="K231" s="87"/>
      <c r="L231" s="87"/>
      <c r="M231" s="87"/>
      <c r="N231" s="87"/>
      <c r="O231" s="87"/>
      <c r="P231" s="87"/>
      <c r="Q231" s="87"/>
      <c r="R231" s="87"/>
      <c r="S231" s="87"/>
      <c r="T231" s="87"/>
      <c r="U231" s="87"/>
      <c r="V231" s="87"/>
      <c r="W231" s="87"/>
      <c r="X231" s="87"/>
      <c r="Y231" s="87"/>
      <c r="Z231" s="87"/>
    </row>
    <row r="232" spans="1:26" ht="12.75" customHeight="1" x14ac:dyDescent="0.2">
      <c r="A232" s="6" t="s">
        <v>2285</v>
      </c>
      <c r="B232" s="6">
        <v>1</v>
      </c>
      <c r="C232" s="85" t="s">
        <v>2286</v>
      </c>
      <c r="E232" s="85" t="s">
        <v>2286</v>
      </c>
      <c r="F232" s="86" t="s">
        <v>683</v>
      </c>
      <c r="G232" s="87"/>
      <c r="H232" s="87"/>
    </row>
    <row r="233" spans="1:26" ht="12.75" customHeight="1" x14ac:dyDescent="0.2">
      <c r="A233" s="6" t="s">
        <v>2285</v>
      </c>
      <c r="B233" s="6">
        <v>2</v>
      </c>
      <c r="C233" s="85" t="s">
        <v>2287</v>
      </c>
      <c r="E233" s="85" t="s">
        <v>2287</v>
      </c>
      <c r="F233" s="86" t="s">
        <v>683</v>
      </c>
    </row>
    <row r="234" spans="1:26" ht="12.75" customHeight="1" x14ac:dyDescent="0.2">
      <c r="A234" s="6" t="s">
        <v>2285</v>
      </c>
      <c r="B234" s="6">
        <v>3</v>
      </c>
      <c r="C234" s="85" t="s">
        <v>2288</v>
      </c>
      <c r="E234" s="85" t="s">
        <v>2288</v>
      </c>
      <c r="F234" s="86" t="s">
        <v>683</v>
      </c>
    </row>
    <row r="235" spans="1:26" ht="12.75" customHeight="1" x14ac:dyDescent="0.2">
      <c r="A235" s="6" t="s">
        <v>2285</v>
      </c>
      <c r="B235" s="6">
        <v>4</v>
      </c>
      <c r="C235" s="85" t="s">
        <v>2289</v>
      </c>
      <c r="E235" s="85" t="s">
        <v>2289</v>
      </c>
      <c r="F235" s="86" t="s">
        <v>683</v>
      </c>
    </row>
    <row r="236" spans="1:26" ht="12.75" customHeight="1" x14ac:dyDescent="0.2">
      <c r="A236" s="6" t="s">
        <v>2285</v>
      </c>
      <c r="B236" s="6">
        <v>8</v>
      </c>
      <c r="C236" s="6" t="s">
        <v>2290</v>
      </c>
      <c r="E236" s="6" t="s">
        <v>2291</v>
      </c>
      <c r="F236" s="86" t="s">
        <v>683</v>
      </c>
    </row>
    <row r="237" spans="1:26" ht="12.75" customHeight="1" x14ac:dyDescent="0.2">
      <c r="A237" s="6" t="s">
        <v>2285</v>
      </c>
      <c r="B237" s="6">
        <v>96</v>
      </c>
      <c r="C237" s="6" t="s">
        <v>730</v>
      </c>
      <c r="E237" s="6" t="s">
        <v>2020</v>
      </c>
      <c r="F237" s="86" t="s">
        <v>683</v>
      </c>
    </row>
    <row r="238" spans="1:26" ht="12.75" customHeight="1" x14ac:dyDescent="0.2">
      <c r="A238" s="6" t="s">
        <v>2292</v>
      </c>
      <c r="B238" s="6">
        <v>0</v>
      </c>
      <c r="C238" s="6" t="s">
        <v>2293</v>
      </c>
      <c r="E238" s="6" t="s">
        <v>2294</v>
      </c>
      <c r="F238" s="86" t="s">
        <v>683</v>
      </c>
    </row>
    <row r="239" spans="1:26" ht="12.75" customHeight="1" x14ac:dyDescent="0.2">
      <c r="A239" s="6" t="s">
        <v>2292</v>
      </c>
      <c r="B239" s="6">
        <v>1</v>
      </c>
      <c r="C239" s="6" t="s">
        <v>2295</v>
      </c>
      <c r="E239" s="6" t="s">
        <v>2296</v>
      </c>
      <c r="F239" s="86" t="s">
        <v>683</v>
      </c>
    </row>
    <row r="240" spans="1:26" ht="12.75" customHeight="1" x14ac:dyDescent="0.2">
      <c r="A240" s="6" t="s">
        <v>2292</v>
      </c>
      <c r="B240" s="6">
        <v>2</v>
      </c>
      <c r="C240" s="6" t="s">
        <v>2297</v>
      </c>
      <c r="E240" s="6" t="s">
        <v>2298</v>
      </c>
      <c r="F240" s="86" t="s">
        <v>683</v>
      </c>
    </row>
    <row r="241" spans="1:6" ht="12.75" customHeight="1" x14ac:dyDescent="0.2">
      <c r="A241" s="6" t="s">
        <v>127</v>
      </c>
      <c r="B241" s="6">
        <v>1</v>
      </c>
      <c r="C241" s="6" t="s">
        <v>2299</v>
      </c>
      <c r="E241" s="6" t="s">
        <v>2300</v>
      </c>
      <c r="F241" s="86" t="s">
        <v>683</v>
      </c>
    </row>
    <row r="242" spans="1:6" ht="12.75" customHeight="1" x14ac:dyDescent="0.2">
      <c r="A242" s="6" t="s">
        <v>127</v>
      </c>
      <c r="B242" s="6">
        <v>2</v>
      </c>
      <c r="C242" s="6" t="s">
        <v>2301</v>
      </c>
      <c r="E242" s="6" t="s">
        <v>2302</v>
      </c>
      <c r="F242" s="86" t="s">
        <v>683</v>
      </c>
    </row>
    <row r="243" spans="1:6" ht="12.75" customHeight="1" x14ac:dyDescent="0.2">
      <c r="A243" s="6" t="s">
        <v>2303</v>
      </c>
      <c r="B243" s="6">
        <v>1</v>
      </c>
      <c r="C243" s="6" t="s">
        <v>2304</v>
      </c>
      <c r="E243" s="6" t="s">
        <v>2305</v>
      </c>
      <c r="F243" s="86" t="s">
        <v>683</v>
      </c>
    </row>
    <row r="244" spans="1:6" ht="12.75" customHeight="1" x14ac:dyDescent="0.2">
      <c r="A244" s="6" t="s">
        <v>2303</v>
      </c>
      <c r="B244" s="6">
        <v>2</v>
      </c>
      <c r="C244" s="6" t="s">
        <v>2306</v>
      </c>
      <c r="E244" s="6" t="s">
        <v>2305</v>
      </c>
      <c r="F244" s="86" t="s">
        <v>683</v>
      </c>
    </row>
    <row r="245" spans="1:6" ht="12.75" customHeight="1" x14ac:dyDescent="0.2">
      <c r="A245" s="6" t="s">
        <v>2303</v>
      </c>
      <c r="B245" s="6">
        <v>3</v>
      </c>
      <c r="C245" s="6" t="s">
        <v>2307</v>
      </c>
      <c r="E245" s="6" t="s">
        <v>2305</v>
      </c>
      <c r="F245" s="86" t="s">
        <v>683</v>
      </c>
    </row>
    <row r="246" spans="1:6" ht="12.75" customHeight="1" x14ac:dyDescent="0.2">
      <c r="A246" s="6" t="s">
        <v>2308</v>
      </c>
      <c r="B246" s="6">
        <v>1</v>
      </c>
      <c r="C246" s="6" t="s">
        <v>2309</v>
      </c>
      <c r="E246" s="6" t="s">
        <v>2310</v>
      </c>
      <c r="F246" s="86" t="s">
        <v>683</v>
      </c>
    </row>
    <row r="247" spans="1:6" ht="12.75" customHeight="1" x14ac:dyDescent="0.2">
      <c r="A247" s="6" t="s">
        <v>2308</v>
      </c>
      <c r="B247" s="6">
        <v>2</v>
      </c>
      <c r="C247" s="6" t="s">
        <v>2311</v>
      </c>
      <c r="E247" s="6" t="s">
        <v>2312</v>
      </c>
      <c r="F247" s="86" t="s">
        <v>683</v>
      </c>
    </row>
    <row r="248" spans="1:6" ht="12.75" customHeight="1" x14ac:dyDescent="0.2">
      <c r="A248" s="6" t="s">
        <v>2308</v>
      </c>
      <c r="B248" s="6">
        <v>3</v>
      </c>
      <c r="C248" s="6" t="s">
        <v>2313</v>
      </c>
      <c r="E248" s="6" t="s">
        <v>2314</v>
      </c>
      <c r="F248" s="86" t="s">
        <v>683</v>
      </c>
    </row>
    <row r="249" spans="1:6" ht="12.75" customHeight="1" x14ac:dyDescent="0.2">
      <c r="A249" s="6" t="s">
        <v>268</v>
      </c>
      <c r="B249" s="6">
        <v>1</v>
      </c>
      <c r="C249" s="6" t="s">
        <v>2315</v>
      </c>
      <c r="E249" s="6" t="s">
        <v>2316</v>
      </c>
      <c r="F249" s="86" t="s">
        <v>683</v>
      </c>
    </row>
    <row r="250" spans="1:6" ht="12.75" customHeight="1" x14ac:dyDescent="0.2">
      <c r="A250" s="6" t="s">
        <v>268</v>
      </c>
      <c r="B250" s="6">
        <v>97</v>
      </c>
      <c r="C250" s="6" t="s">
        <v>2317</v>
      </c>
      <c r="E250" s="6" t="s">
        <v>2318</v>
      </c>
      <c r="F250" s="86" t="s">
        <v>683</v>
      </c>
    </row>
    <row r="251" spans="1:6" ht="12.75" customHeight="1" x14ac:dyDescent="0.2">
      <c r="A251" s="6" t="s">
        <v>268</v>
      </c>
      <c r="B251" s="6">
        <v>99</v>
      </c>
      <c r="C251" s="6" t="s">
        <v>2319</v>
      </c>
      <c r="E251" s="6" t="s">
        <v>2320</v>
      </c>
      <c r="F251" s="86" t="s">
        <v>683</v>
      </c>
    </row>
    <row r="252" spans="1:6" ht="12.75" customHeight="1" x14ac:dyDescent="0.2">
      <c r="A252" s="6" t="s">
        <v>2321</v>
      </c>
      <c r="B252" s="6">
        <v>1</v>
      </c>
      <c r="C252" s="6" t="s">
        <v>2322</v>
      </c>
      <c r="E252" s="6" t="s">
        <v>2323</v>
      </c>
      <c r="F252" s="86" t="s">
        <v>683</v>
      </c>
    </row>
    <row r="253" spans="1:6" ht="12.75" customHeight="1" x14ac:dyDescent="0.2">
      <c r="A253" s="6" t="s">
        <v>2321</v>
      </c>
      <c r="B253" s="6">
        <v>2</v>
      </c>
      <c r="C253" s="6" t="s">
        <v>2324</v>
      </c>
      <c r="E253" s="6" t="s">
        <v>2325</v>
      </c>
      <c r="F253" s="86" t="s">
        <v>683</v>
      </c>
    </row>
    <row r="254" spans="1:6" ht="12.75" customHeight="1" x14ac:dyDescent="0.2">
      <c r="A254" s="6" t="s">
        <v>2321</v>
      </c>
      <c r="B254" s="6">
        <v>3</v>
      </c>
      <c r="C254" s="6" t="s">
        <v>2326</v>
      </c>
      <c r="E254" s="6" t="s">
        <v>2327</v>
      </c>
      <c r="F254" s="86" t="s">
        <v>683</v>
      </c>
    </row>
    <row r="255" spans="1:6" ht="12.75" customHeight="1" x14ac:dyDescent="0.2">
      <c r="A255" s="6" t="s">
        <v>2321</v>
      </c>
      <c r="B255" s="6">
        <v>96</v>
      </c>
      <c r="C255" s="6" t="s">
        <v>730</v>
      </c>
      <c r="E255" s="6" t="s">
        <v>2020</v>
      </c>
      <c r="F255" s="86" t="s">
        <v>683</v>
      </c>
    </row>
    <row r="256" spans="1:6" ht="12.75" customHeight="1" x14ac:dyDescent="0.2">
      <c r="A256" s="6" t="s">
        <v>2328</v>
      </c>
      <c r="B256" s="6">
        <v>1</v>
      </c>
      <c r="C256" s="6" t="s">
        <v>1056</v>
      </c>
      <c r="E256" s="6" t="s">
        <v>1058</v>
      </c>
      <c r="F256" s="86" t="s">
        <v>683</v>
      </c>
    </row>
    <row r="257" spans="1:6" ht="12.75" customHeight="1" x14ac:dyDescent="0.2">
      <c r="A257" s="6" t="s">
        <v>2328</v>
      </c>
      <c r="B257" s="6">
        <v>2</v>
      </c>
      <c r="C257" s="6" t="s">
        <v>2329</v>
      </c>
      <c r="E257" s="6" t="s">
        <v>2330</v>
      </c>
      <c r="F257" s="86" t="s">
        <v>683</v>
      </c>
    </row>
    <row r="258" spans="1:6" ht="12.75" customHeight="1" x14ac:dyDescent="0.2">
      <c r="A258" s="6" t="s">
        <v>2328</v>
      </c>
      <c r="B258" s="6">
        <v>3</v>
      </c>
      <c r="C258" s="6" t="s">
        <v>2331</v>
      </c>
      <c r="E258" s="6" t="s">
        <v>2331</v>
      </c>
      <c r="F258" s="86" t="s">
        <v>683</v>
      </c>
    </row>
    <row r="259" spans="1:6" ht="12.75" customHeight="1" x14ac:dyDescent="0.2">
      <c r="A259" s="6" t="s">
        <v>2328</v>
      </c>
      <c r="B259" s="6">
        <v>4</v>
      </c>
      <c r="C259" s="6" t="s">
        <v>2332</v>
      </c>
      <c r="E259" s="6" t="s">
        <v>2333</v>
      </c>
      <c r="F259" s="86" t="s">
        <v>683</v>
      </c>
    </row>
    <row r="260" spans="1:6" ht="12.75" customHeight="1" x14ac:dyDescent="0.2">
      <c r="A260" s="6" t="s">
        <v>2328</v>
      </c>
      <c r="B260" s="6">
        <v>5</v>
      </c>
      <c r="C260" s="6" t="s">
        <v>2334</v>
      </c>
      <c r="E260" s="6" t="s">
        <v>2334</v>
      </c>
      <c r="F260" s="86" t="s">
        <v>683</v>
      </c>
    </row>
    <row r="261" spans="1:6" ht="12.75" customHeight="1" x14ac:dyDescent="0.2">
      <c r="A261" s="6" t="s">
        <v>2328</v>
      </c>
      <c r="B261" s="6">
        <v>6</v>
      </c>
      <c r="C261" s="6" t="s">
        <v>2335</v>
      </c>
      <c r="E261" s="6" t="s">
        <v>2336</v>
      </c>
      <c r="F261" s="86" t="s">
        <v>683</v>
      </c>
    </row>
    <row r="262" spans="1:6" ht="12.75" customHeight="1" x14ac:dyDescent="0.2">
      <c r="A262" s="6" t="s">
        <v>2328</v>
      </c>
      <c r="B262" s="6">
        <v>7</v>
      </c>
      <c r="C262" s="6" t="s">
        <v>2337</v>
      </c>
      <c r="E262" s="6" t="s">
        <v>2338</v>
      </c>
      <c r="F262" s="86" t="s">
        <v>683</v>
      </c>
    </row>
    <row r="263" spans="1:6" ht="12.75" customHeight="1" x14ac:dyDescent="0.2">
      <c r="A263" s="6" t="s">
        <v>2328</v>
      </c>
      <c r="B263" s="6">
        <v>8</v>
      </c>
      <c r="C263" s="6" t="s">
        <v>2339</v>
      </c>
      <c r="E263" s="6" t="s">
        <v>2340</v>
      </c>
      <c r="F263" s="86" t="s">
        <v>683</v>
      </c>
    </row>
    <row r="264" spans="1:6" ht="12.75" customHeight="1" x14ac:dyDescent="0.2">
      <c r="A264" s="6" t="s">
        <v>2328</v>
      </c>
      <c r="B264" s="6">
        <v>96</v>
      </c>
      <c r="C264" s="6" t="s">
        <v>730</v>
      </c>
      <c r="E264" s="6" t="s">
        <v>2020</v>
      </c>
      <c r="F264" s="86" t="s">
        <v>683</v>
      </c>
    </row>
    <row r="265" spans="1:6" ht="12.75" customHeight="1" x14ac:dyDescent="0.2">
      <c r="A265" s="6" t="s">
        <v>2328</v>
      </c>
      <c r="B265" s="6">
        <v>97</v>
      </c>
      <c r="C265" s="6" t="s">
        <v>2341</v>
      </c>
      <c r="E265" s="6" t="s">
        <v>2342</v>
      </c>
      <c r="F265" s="86" t="s">
        <v>683</v>
      </c>
    </row>
    <row r="266" spans="1:6" ht="12.75" customHeight="1" x14ac:dyDescent="0.2">
      <c r="A266" s="6" t="s">
        <v>1041</v>
      </c>
      <c r="B266" s="6">
        <v>1</v>
      </c>
      <c r="C266" s="6" t="s">
        <v>2343</v>
      </c>
      <c r="E266" s="6" t="s">
        <v>2344</v>
      </c>
      <c r="F266" s="86" t="s">
        <v>683</v>
      </c>
    </row>
    <row r="267" spans="1:6" ht="12.75" customHeight="1" x14ac:dyDescent="0.2">
      <c r="A267" s="6" t="s">
        <v>1041</v>
      </c>
      <c r="B267" s="6">
        <v>2</v>
      </c>
      <c r="C267" s="6" t="s">
        <v>2345</v>
      </c>
      <c r="E267" s="6" t="s">
        <v>2346</v>
      </c>
      <c r="F267" s="86" t="s">
        <v>683</v>
      </c>
    </row>
    <row r="268" spans="1:6" ht="12.75" customHeight="1" x14ac:dyDescent="0.2">
      <c r="A268" s="6" t="s">
        <v>2347</v>
      </c>
      <c r="B268" s="6">
        <v>1</v>
      </c>
      <c r="C268" s="6" t="s">
        <v>2348</v>
      </c>
      <c r="E268" s="6" t="s">
        <v>2349</v>
      </c>
      <c r="F268" s="86" t="s">
        <v>683</v>
      </c>
    </row>
    <row r="269" spans="1:6" ht="12.75" customHeight="1" x14ac:dyDescent="0.2">
      <c r="A269" s="6" t="s">
        <v>2347</v>
      </c>
      <c r="B269" s="6">
        <v>2</v>
      </c>
      <c r="C269" s="6" t="s">
        <v>2350</v>
      </c>
      <c r="E269" s="6" t="s">
        <v>2350</v>
      </c>
      <c r="F269" s="86" t="s">
        <v>683</v>
      </c>
    </row>
    <row r="270" spans="1:6" ht="12.75" customHeight="1" x14ac:dyDescent="0.2">
      <c r="A270" s="6" t="s">
        <v>2351</v>
      </c>
      <c r="B270" s="6">
        <v>60</v>
      </c>
      <c r="C270" s="6" t="s">
        <v>2262</v>
      </c>
      <c r="E270" s="6" t="s">
        <v>2262</v>
      </c>
      <c r="F270" s="86" t="s">
        <v>683</v>
      </c>
    </row>
    <row r="271" spans="1:6" ht="12.75" customHeight="1" x14ac:dyDescent="0.2">
      <c r="A271" s="6" t="s">
        <v>2351</v>
      </c>
      <c r="B271" s="6">
        <v>63</v>
      </c>
      <c r="C271" s="6" t="s">
        <v>2352</v>
      </c>
      <c r="E271" s="6" t="s">
        <v>2353</v>
      </c>
      <c r="F271" s="86" t="s">
        <v>683</v>
      </c>
    </row>
    <row r="272" spans="1:6" ht="12.75" customHeight="1" x14ac:dyDescent="0.2">
      <c r="A272" s="6" t="s">
        <v>2351</v>
      </c>
      <c r="B272" s="6">
        <v>61</v>
      </c>
      <c r="C272" s="6" t="s">
        <v>2263</v>
      </c>
      <c r="E272" s="6" t="s">
        <v>2264</v>
      </c>
      <c r="F272" s="86" t="s">
        <v>683</v>
      </c>
    </row>
    <row r="273" spans="1:6" ht="12.75" customHeight="1" x14ac:dyDescent="0.2">
      <c r="A273" s="6" t="s">
        <v>2351</v>
      </c>
      <c r="B273" s="6">
        <v>62</v>
      </c>
      <c r="C273" s="6" t="s">
        <v>2267</v>
      </c>
      <c r="E273" s="6" t="s">
        <v>2268</v>
      </c>
      <c r="F273" s="86" t="s">
        <v>683</v>
      </c>
    </row>
    <row r="274" spans="1:6" ht="12.75" customHeight="1" x14ac:dyDescent="0.2">
      <c r="A274" s="6" t="s">
        <v>2351</v>
      </c>
      <c r="B274" s="6">
        <v>64</v>
      </c>
      <c r="C274" s="6" t="s">
        <v>2354</v>
      </c>
      <c r="E274" s="6" t="s">
        <v>2355</v>
      </c>
      <c r="F274" s="86" t="s">
        <v>683</v>
      </c>
    </row>
    <row r="275" spans="1:6" ht="12.75" customHeight="1" x14ac:dyDescent="0.2">
      <c r="A275" s="6" t="s">
        <v>2351</v>
      </c>
      <c r="B275" s="6">
        <v>69</v>
      </c>
      <c r="C275" s="6" t="s">
        <v>2356</v>
      </c>
      <c r="E275" s="6" t="s">
        <v>2357</v>
      </c>
      <c r="F275" s="86" t="s">
        <v>683</v>
      </c>
    </row>
    <row r="276" spans="1:6" ht="12.75" customHeight="1" x14ac:dyDescent="0.2">
      <c r="A276" s="6" t="s">
        <v>2351</v>
      </c>
      <c r="B276" s="6">
        <v>65</v>
      </c>
      <c r="C276" s="6" t="s">
        <v>2269</v>
      </c>
      <c r="E276" s="6" t="s">
        <v>2270</v>
      </c>
      <c r="F276" s="86" t="s">
        <v>683</v>
      </c>
    </row>
    <row r="277" spans="1:6" ht="12.75" customHeight="1" x14ac:dyDescent="0.2">
      <c r="A277" s="6" t="s">
        <v>2351</v>
      </c>
      <c r="B277" s="6">
        <v>66</v>
      </c>
      <c r="C277" s="6" t="s">
        <v>2358</v>
      </c>
      <c r="E277" s="6" t="s">
        <v>2358</v>
      </c>
      <c r="F277" s="86" t="s">
        <v>683</v>
      </c>
    </row>
    <row r="278" spans="1:6" ht="12.75" customHeight="1" x14ac:dyDescent="0.2">
      <c r="A278" s="6" t="s">
        <v>2351</v>
      </c>
      <c r="B278" s="6">
        <v>67</v>
      </c>
      <c r="C278" s="6" t="s">
        <v>2359</v>
      </c>
      <c r="E278" s="6" t="s">
        <v>2359</v>
      </c>
      <c r="F278" s="86" t="s">
        <v>683</v>
      </c>
    </row>
    <row r="279" spans="1:6" ht="12.75" customHeight="1" x14ac:dyDescent="0.2">
      <c r="A279" s="6" t="s">
        <v>2351</v>
      </c>
      <c r="B279" s="6">
        <v>68</v>
      </c>
      <c r="C279" s="6" t="s">
        <v>2275</v>
      </c>
      <c r="E279" s="6" t="s">
        <v>2275</v>
      </c>
      <c r="F279" s="86" t="s">
        <v>683</v>
      </c>
    </row>
    <row r="280" spans="1:6" ht="12.75" customHeight="1" x14ac:dyDescent="0.2">
      <c r="A280" s="6" t="s">
        <v>2351</v>
      </c>
      <c r="B280" s="6">
        <v>70</v>
      </c>
      <c r="C280" s="6" t="s">
        <v>2360</v>
      </c>
      <c r="E280" s="6" t="s">
        <v>2360</v>
      </c>
      <c r="F280" s="86" t="s">
        <v>683</v>
      </c>
    </row>
    <row r="281" spans="1:6" ht="12.75" customHeight="1" x14ac:dyDescent="0.2">
      <c r="A281" s="6" t="s">
        <v>2351</v>
      </c>
      <c r="B281" s="6">
        <v>71</v>
      </c>
      <c r="C281" s="6" t="s">
        <v>2361</v>
      </c>
      <c r="E281" s="6" t="s">
        <v>2361</v>
      </c>
      <c r="F281" s="86" t="s">
        <v>683</v>
      </c>
    </row>
    <row r="282" spans="1:6" ht="12.75" customHeight="1" x14ac:dyDescent="0.2">
      <c r="A282" s="6" t="s">
        <v>2351</v>
      </c>
      <c r="B282" s="6">
        <v>72</v>
      </c>
      <c r="C282" s="6" t="s">
        <v>2362</v>
      </c>
      <c r="E282" s="6" t="s">
        <v>2362</v>
      </c>
      <c r="F282" s="86" t="s">
        <v>683</v>
      </c>
    </row>
    <row r="283" spans="1:6" ht="12.75" customHeight="1" x14ac:dyDescent="0.2">
      <c r="A283" s="6" t="s">
        <v>2351</v>
      </c>
      <c r="B283" s="6">
        <v>73</v>
      </c>
      <c r="C283" s="6" t="s">
        <v>2363</v>
      </c>
      <c r="E283" s="6" t="s">
        <v>2363</v>
      </c>
      <c r="F283" s="86" t="s">
        <v>683</v>
      </c>
    </row>
    <row r="284" spans="1:6" ht="12.75" customHeight="1" x14ac:dyDescent="0.2">
      <c r="A284" s="6" t="s">
        <v>2351</v>
      </c>
      <c r="B284" s="6">
        <v>74</v>
      </c>
      <c r="C284" s="6" t="s">
        <v>2364</v>
      </c>
      <c r="E284" s="6" t="s">
        <v>2365</v>
      </c>
      <c r="F284" s="86" t="s">
        <v>683</v>
      </c>
    </row>
    <row r="285" spans="1:6" ht="12.75" customHeight="1" x14ac:dyDescent="0.2">
      <c r="A285" s="6" t="s">
        <v>2351</v>
      </c>
      <c r="B285" s="6">
        <v>75</v>
      </c>
      <c r="C285" s="6" t="s">
        <v>2366</v>
      </c>
      <c r="E285" s="6" t="s">
        <v>2367</v>
      </c>
      <c r="F285" s="86" t="s">
        <v>683</v>
      </c>
    </row>
    <row r="286" spans="1:6" ht="12.75" customHeight="1" x14ac:dyDescent="0.2">
      <c r="A286" s="6" t="s">
        <v>2351</v>
      </c>
      <c r="B286" s="6">
        <v>76</v>
      </c>
      <c r="C286" s="6" t="s">
        <v>2368</v>
      </c>
      <c r="E286" s="6" t="s">
        <v>2368</v>
      </c>
      <c r="F286" s="86" t="s">
        <v>683</v>
      </c>
    </row>
    <row r="287" spans="1:6" ht="12.75" customHeight="1" x14ac:dyDescent="0.2">
      <c r="A287" s="6" t="s">
        <v>2351</v>
      </c>
      <c r="B287" s="6">
        <v>77</v>
      </c>
      <c r="C287" s="6" t="s">
        <v>2369</v>
      </c>
      <c r="E287" s="6" t="s">
        <v>2370</v>
      </c>
      <c r="F287" s="86" t="s">
        <v>683</v>
      </c>
    </row>
    <row r="288" spans="1:6" ht="12.75" customHeight="1" x14ac:dyDescent="0.2">
      <c r="A288" s="6" t="s">
        <v>2351</v>
      </c>
      <c r="B288" s="6">
        <v>78</v>
      </c>
      <c r="C288" s="6" t="s">
        <v>2371</v>
      </c>
      <c r="E288" s="6" t="s">
        <v>2371</v>
      </c>
      <c r="F288" s="86" t="s">
        <v>683</v>
      </c>
    </row>
    <row r="289" spans="1:6" ht="12.75" customHeight="1" x14ac:dyDescent="0.2">
      <c r="A289" s="6" t="s">
        <v>2351</v>
      </c>
      <c r="B289" s="6">
        <v>79</v>
      </c>
      <c r="C289" s="6" t="s">
        <v>2372</v>
      </c>
      <c r="E289" s="6" t="s">
        <v>2372</v>
      </c>
      <c r="F289" s="86" t="s">
        <v>683</v>
      </c>
    </row>
    <row r="290" spans="1:6" ht="12.75" customHeight="1" x14ac:dyDescent="0.2">
      <c r="A290" s="6" t="s">
        <v>2351</v>
      </c>
      <c r="B290" s="6">
        <v>81</v>
      </c>
      <c r="C290" s="6" t="s">
        <v>2373</v>
      </c>
      <c r="E290" s="6" t="s">
        <v>2374</v>
      </c>
      <c r="F290" s="86" t="s">
        <v>683</v>
      </c>
    </row>
    <row r="291" spans="1:6" ht="12.75" customHeight="1" x14ac:dyDescent="0.2">
      <c r="A291" s="6" t="s">
        <v>2351</v>
      </c>
      <c r="B291" s="6">
        <v>80</v>
      </c>
      <c r="C291" s="6" t="s">
        <v>2375</v>
      </c>
      <c r="E291" s="6" t="s">
        <v>2375</v>
      </c>
      <c r="F291" s="86" t="s">
        <v>683</v>
      </c>
    </row>
    <row r="292" spans="1:6" ht="12.75" customHeight="1" x14ac:dyDescent="0.2">
      <c r="A292" s="6" t="s">
        <v>2351</v>
      </c>
      <c r="B292" s="6">
        <v>82</v>
      </c>
      <c r="C292" s="6" t="s">
        <v>2376</v>
      </c>
      <c r="E292" s="6" t="s">
        <v>2376</v>
      </c>
      <c r="F292" s="86" t="s">
        <v>683</v>
      </c>
    </row>
    <row r="293" spans="1:6" ht="12.75" customHeight="1" x14ac:dyDescent="0.2">
      <c r="A293" s="6" t="s">
        <v>2351</v>
      </c>
      <c r="B293" s="6">
        <v>83</v>
      </c>
      <c r="C293" s="6" t="s">
        <v>2280</v>
      </c>
      <c r="E293" s="6" t="s">
        <v>2280</v>
      </c>
      <c r="F293" s="86" t="s">
        <v>683</v>
      </c>
    </row>
    <row r="294" spans="1:6" ht="12.75" customHeight="1" x14ac:dyDescent="0.2">
      <c r="A294" s="6" t="s">
        <v>2351</v>
      </c>
      <c r="B294" s="6">
        <v>85</v>
      </c>
      <c r="C294" s="6" t="s">
        <v>2377</v>
      </c>
      <c r="E294" s="6" t="s">
        <v>2377</v>
      </c>
      <c r="F294" s="86" t="s">
        <v>683</v>
      </c>
    </row>
    <row r="295" spans="1:6" ht="12.75" customHeight="1" x14ac:dyDescent="0.2">
      <c r="A295" s="6" t="s">
        <v>2351</v>
      </c>
      <c r="B295" s="6">
        <v>89</v>
      </c>
      <c r="C295" s="6" t="s">
        <v>2378</v>
      </c>
      <c r="E295" s="6" t="s">
        <v>2379</v>
      </c>
      <c r="F295" s="86" t="s">
        <v>683</v>
      </c>
    </row>
    <row r="296" spans="1:6" ht="12.75" customHeight="1" x14ac:dyDescent="0.2">
      <c r="A296" s="6" t="s">
        <v>2351</v>
      </c>
      <c r="B296" s="6">
        <v>86</v>
      </c>
      <c r="C296" s="6" t="s">
        <v>2380</v>
      </c>
      <c r="E296" s="6" t="s">
        <v>2381</v>
      </c>
      <c r="F296" s="86" t="s">
        <v>683</v>
      </c>
    </row>
    <row r="297" spans="1:6" ht="12.75" customHeight="1" x14ac:dyDescent="0.2">
      <c r="A297" s="6" t="s">
        <v>2351</v>
      </c>
      <c r="B297" s="6">
        <v>87</v>
      </c>
      <c r="C297" s="6" t="s">
        <v>2382</v>
      </c>
      <c r="E297" s="6" t="s">
        <v>2383</v>
      </c>
      <c r="F297" s="86" t="s">
        <v>683</v>
      </c>
    </row>
    <row r="298" spans="1:6" ht="12.75" customHeight="1" x14ac:dyDescent="0.2">
      <c r="A298" s="6" t="s">
        <v>2351</v>
      </c>
      <c r="B298" s="6">
        <v>88</v>
      </c>
      <c r="C298" s="6" t="s">
        <v>2384</v>
      </c>
      <c r="E298" s="6" t="s">
        <v>2385</v>
      </c>
      <c r="F298" s="86" t="s">
        <v>683</v>
      </c>
    </row>
    <row r="299" spans="1:6" ht="12.75" customHeight="1" x14ac:dyDescent="0.2">
      <c r="A299" s="6" t="s">
        <v>2351</v>
      </c>
      <c r="B299" s="6">
        <v>96</v>
      </c>
      <c r="C299" s="6" t="s">
        <v>730</v>
      </c>
      <c r="E299" s="6" t="s">
        <v>2020</v>
      </c>
      <c r="F299" s="86" t="s">
        <v>683</v>
      </c>
    </row>
    <row r="300" spans="1:6" ht="12.75" customHeight="1" x14ac:dyDescent="0.2">
      <c r="A300" s="6" t="s">
        <v>2351</v>
      </c>
      <c r="B300" s="6">
        <v>98</v>
      </c>
      <c r="C300" s="6" t="s">
        <v>2386</v>
      </c>
      <c r="E300" s="6" t="s">
        <v>2091</v>
      </c>
      <c r="F300" s="86" t="s">
        <v>683</v>
      </c>
    </row>
    <row r="301" spans="1:6" ht="12.75" customHeight="1" x14ac:dyDescent="0.2">
      <c r="A301" s="6" t="s">
        <v>2387</v>
      </c>
      <c r="B301" s="6">
        <v>9</v>
      </c>
      <c r="C301" s="6" t="s">
        <v>2262</v>
      </c>
      <c r="E301" s="6" t="s">
        <v>2262</v>
      </c>
      <c r="F301" s="86" t="s">
        <v>683</v>
      </c>
    </row>
    <row r="302" spans="1:6" ht="12.75" customHeight="1" x14ac:dyDescent="0.2">
      <c r="A302" s="6" t="s">
        <v>2387</v>
      </c>
      <c r="B302" s="6">
        <v>6</v>
      </c>
      <c r="C302" s="6" t="s">
        <v>2263</v>
      </c>
      <c r="E302" s="6" t="s">
        <v>2264</v>
      </c>
      <c r="F302" s="86" t="s">
        <v>683</v>
      </c>
    </row>
    <row r="303" spans="1:6" ht="12.75" customHeight="1" x14ac:dyDescent="0.2">
      <c r="A303" s="6" t="s">
        <v>2387</v>
      </c>
      <c r="B303" s="6">
        <v>1</v>
      </c>
      <c r="C303" s="6" t="s">
        <v>2388</v>
      </c>
      <c r="E303" s="6" t="s">
        <v>2389</v>
      </c>
      <c r="F303" s="86" t="s">
        <v>683</v>
      </c>
    </row>
    <row r="304" spans="1:6" ht="12.75" customHeight="1" x14ac:dyDescent="0.2">
      <c r="A304" s="6" t="s">
        <v>2387</v>
      </c>
      <c r="B304" s="6">
        <v>7</v>
      </c>
      <c r="C304" s="6" t="s">
        <v>2390</v>
      </c>
      <c r="E304" s="6" t="s">
        <v>2268</v>
      </c>
      <c r="F304" s="86" t="s">
        <v>683</v>
      </c>
    </row>
    <row r="305" spans="1:6" ht="12.75" customHeight="1" x14ac:dyDescent="0.2">
      <c r="A305" s="6" t="s">
        <v>2387</v>
      </c>
      <c r="B305" s="6">
        <v>8</v>
      </c>
      <c r="C305" s="6" t="s">
        <v>2269</v>
      </c>
      <c r="E305" s="6" t="s">
        <v>2270</v>
      </c>
      <c r="F305" s="86" t="s">
        <v>683</v>
      </c>
    </row>
    <row r="306" spans="1:6" ht="12.75" customHeight="1" x14ac:dyDescent="0.2">
      <c r="A306" s="6" t="s">
        <v>2387</v>
      </c>
      <c r="B306" s="6">
        <v>2</v>
      </c>
      <c r="C306" s="6" t="s">
        <v>2271</v>
      </c>
      <c r="E306" s="6" t="s">
        <v>2272</v>
      </c>
      <c r="F306" s="86" t="s">
        <v>683</v>
      </c>
    </row>
    <row r="307" spans="1:6" ht="12.75" customHeight="1" x14ac:dyDescent="0.2">
      <c r="A307" s="6" t="s">
        <v>2387</v>
      </c>
      <c r="B307" s="6">
        <v>4</v>
      </c>
      <c r="C307" s="6" t="s">
        <v>2273</v>
      </c>
      <c r="E307" s="6" t="s">
        <v>2274</v>
      </c>
      <c r="F307" s="86" t="s">
        <v>683</v>
      </c>
    </row>
    <row r="308" spans="1:6" ht="12.75" customHeight="1" x14ac:dyDescent="0.2">
      <c r="A308" s="6" t="s">
        <v>2387</v>
      </c>
      <c r="B308" s="6">
        <v>10</v>
      </c>
      <c r="C308" s="6" t="s">
        <v>2275</v>
      </c>
      <c r="E308" s="6" t="s">
        <v>2275</v>
      </c>
      <c r="F308" s="86" t="s">
        <v>683</v>
      </c>
    </row>
    <row r="309" spans="1:6" ht="12.75" customHeight="1" x14ac:dyDescent="0.2">
      <c r="A309" s="6" t="s">
        <v>2387</v>
      </c>
      <c r="B309" s="6">
        <v>5</v>
      </c>
      <c r="C309" s="6" t="s">
        <v>2276</v>
      </c>
      <c r="E309" s="6" t="s">
        <v>2391</v>
      </c>
      <c r="F309" s="86" t="s">
        <v>683</v>
      </c>
    </row>
    <row r="310" spans="1:6" ht="12.75" customHeight="1" x14ac:dyDescent="0.2">
      <c r="A310" s="6" t="s">
        <v>2387</v>
      </c>
      <c r="B310" s="6">
        <v>3</v>
      </c>
      <c r="C310" s="6" t="s">
        <v>2392</v>
      </c>
      <c r="E310" s="6" t="s">
        <v>2393</v>
      </c>
      <c r="F310" s="86" t="s">
        <v>683</v>
      </c>
    </row>
    <row r="311" spans="1:6" ht="12.75" customHeight="1" x14ac:dyDescent="0.2">
      <c r="A311" s="6" t="s">
        <v>2387</v>
      </c>
      <c r="B311" s="6">
        <v>11</v>
      </c>
      <c r="C311" s="6" t="s">
        <v>2280</v>
      </c>
      <c r="E311" s="6" t="s">
        <v>2280</v>
      </c>
      <c r="F311" s="86" t="s">
        <v>683</v>
      </c>
    </row>
    <row r="312" spans="1:6" ht="12.75" customHeight="1" x14ac:dyDescent="0.2">
      <c r="A312" s="6" t="s">
        <v>2387</v>
      </c>
      <c r="B312" s="6">
        <v>12</v>
      </c>
      <c r="C312" s="6" t="s">
        <v>2394</v>
      </c>
      <c r="E312" s="6" t="s">
        <v>2395</v>
      </c>
      <c r="F312" s="86" t="s">
        <v>683</v>
      </c>
    </row>
    <row r="313" spans="1:6" ht="12.75" customHeight="1" x14ac:dyDescent="0.2">
      <c r="A313" s="6" t="s">
        <v>2387</v>
      </c>
      <c r="B313" s="6">
        <v>95</v>
      </c>
      <c r="C313" s="6" t="s">
        <v>2396</v>
      </c>
      <c r="E313" s="6" t="s">
        <v>2397</v>
      </c>
      <c r="F313" s="86" t="s">
        <v>683</v>
      </c>
    </row>
    <row r="314" spans="1:6" ht="12.75" customHeight="1" x14ac:dyDescent="0.2">
      <c r="A314" s="6" t="s">
        <v>2387</v>
      </c>
      <c r="B314" s="6">
        <v>96</v>
      </c>
      <c r="C314" s="6" t="s">
        <v>730</v>
      </c>
      <c r="E314" s="6" t="s">
        <v>2020</v>
      </c>
      <c r="F314" s="86" t="s">
        <v>683</v>
      </c>
    </row>
    <row r="315" spans="1:6" ht="12.75" customHeight="1" x14ac:dyDescent="0.2">
      <c r="A315" s="6" t="s">
        <v>2387</v>
      </c>
      <c r="B315" s="6">
        <v>98</v>
      </c>
      <c r="C315" s="6" t="s">
        <v>2116</v>
      </c>
      <c r="E315" s="6" t="s">
        <v>2091</v>
      </c>
      <c r="F315" s="86" t="s">
        <v>683</v>
      </c>
    </row>
    <row r="316" spans="1:6" ht="12.75" customHeight="1" x14ac:dyDescent="0.2">
      <c r="A316" s="6" t="s">
        <v>2398</v>
      </c>
      <c r="B316" s="6">
        <v>1</v>
      </c>
      <c r="C316" s="6" t="s">
        <v>2399</v>
      </c>
      <c r="E316" s="6" t="s">
        <v>2400</v>
      </c>
      <c r="F316" s="86" t="s">
        <v>683</v>
      </c>
    </row>
    <row r="317" spans="1:6" ht="12.75" customHeight="1" x14ac:dyDescent="0.2">
      <c r="A317" s="6" t="s">
        <v>2398</v>
      </c>
      <c r="B317" s="6">
        <v>2</v>
      </c>
      <c r="C317" s="6" t="s">
        <v>2401</v>
      </c>
      <c r="E317" s="6" t="s">
        <v>2402</v>
      </c>
      <c r="F317" s="86" t="s">
        <v>683</v>
      </c>
    </row>
    <row r="318" spans="1:6" ht="12.75" customHeight="1" x14ac:dyDescent="0.2">
      <c r="A318" s="6" t="s">
        <v>2398</v>
      </c>
      <c r="B318" s="6">
        <v>3</v>
      </c>
      <c r="C318" s="6" t="s">
        <v>2403</v>
      </c>
      <c r="E318" s="6" t="s">
        <v>2404</v>
      </c>
      <c r="F318" s="86" t="s">
        <v>683</v>
      </c>
    </row>
    <row r="319" spans="1:6" ht="12.75" customHeight="1" x14ac:dyDescent="0.2">
      <c r="A319" s="6" t="s">
        <v>2398</v>
      </c>
      <c r="B319" s="6">
        <v>4</v>
      </c>
      <c r="C319" s="6" t="s">
        <v>2405</v>
      </c>
      <c r="E319" s="6" t="s">
        <v>2406</v>
      </c>
      <c r="F319" s="86" t="s">
        <v>683</v>
      </c>
    </row>
    <row r="320" spans="1:6" ht="12.75" customHeight="1" x14ac:dyDescent="0.2">
      <c r="A320" s="6" t="s">
        <v>2398</v>
      </c>
      <c r="B320" s="6">
        <v>5</v>
      </c>
      <c r="C320" s="6" t="s">
        <v>2407</v>
      </c>
      <c r="E320" s="6" t="s">
        <v>2408</v>
      </c>
      <c r="F320" s="86" t="s">
        <v>683</v>
      </c>
    </row>
    <row r="321" spans="1:26" ht="12.75" customHeight="1" x14ac:dyDescent="0.2">
      <c r="A321" s="6" t="s">
        <v>2398</v>
      </c>
      <c r="B321" s="6">
        <v>6</v>
      </c>
      <c r="C321" s="6" t="s">
        <v>2409</v>
      </c>
      <c r="E321" s="6" t="s">
        <v>2410</v>
      </c>
      <c r="F321" s="86" t="s">
        <v>683</v>
      </c>
    </row>
    <row r="322" spans="1:26" ht="12.75" customHeight="1" x14ac:dyDescent="0.2">
      <c r="A322" s="6" t="s">
        <v>2398</v>
      </c>
      <c r="B322" s="6">
        <v>96</v>
      </c>
      <c r="C322" s="6" t="s">
        <v>2411</v>
      </c>
      <c r="E322" s="6" t="s">
        <v>2260</v>
      </c>
      <c r="F322" s="86" t="s">
        <v>683</v>
      </c>
    </row>
    <row r="323" spans="1:26" ht="12.75" customHeight="1" x14ac:dyDescent="0.2">
      <c r="A323" s="6" t="s">
        <v>2412</v>
      </c>
      <c r="B323" s="6">
        <v>1</v>
      </c>
      <c r="C323" s="6" t="s">
        <v>2413</v>
      </c>
      <c r="E323" s="6" t="s">
        <v>2414</v>
      </c>
      <c r="F323" s="86" t="s">
        <v>683</v>
      </c>
    </row>
    <row r="324" spans="1:26" ht="12.75" customHeight="1" x14ac:dyDescent="0.2">
      <c r="A324" s="6" t="s">
        <v>2412</v>
      </c>
      <c r="B324" s="6">
        <v>2</v>
      </c>
      <c r="C324" s="6" t="s">
        <v>2415</v>
      </c>
      <c r="E324" s="6" t="s">
        <v>2416</v>
      </c>
      <c r="F324" s="86" t="s">
        <v>683</v>
      </c>
    </row>
    <row r="325" spans="1:26" ht="12.75" customHeight="1" x14ac:dyDescent="0.2">
      <c r="A325" s="6" t="s">
        <v>2412</v>
      </c>
      <c r="B325" s="6">
        <v>3</v>
      </c>
      <c r="C325" s="6" t="s">
        <v>2417</v>
      </c>
      <c r="E325" s="6" t="s">
        <v>2418</v>
      </c>
      <c r="F325" s="86" t="s">
        <v>683</v>
      </c>
    </row>
    <row r="326" spans="1:26" ht="12.75" customHeight="1" x14ac:dyDescent="0.2">
      <c r="A326" s="6" t="s">
        <v>2412</v>
      </c>
      <c r="B326" s="6">
        <v>7</v>
      </c>
      <c r="C326" s="6" t="s">
        <v>2419</v>
      </c>
      <c r="E326" s="6" t="s">
        <v>2420</v>
      </c>
      <c r="F326" s="86" t="s">
        <v>683</v>
      </c>
    </row>
    <row r="327" spans="1:26" ht="12.75" customHeight="1" x14ac:dyDescent="0.2">
      <c r="A327" s="6" t="s">
        <v>2412</v>
      </c>
      <c r="B327" s="6">
        <v>96</v>
      </c>
      <c r="C327" s="6" t="s">
        <v>2411</v>
      </c>
      <c r="E327" s="6" t="s">
        <v>2260</v>
      </c>
      <c r="F327" s="86" t="s">
        <v>683</v>
      </c>
    </row>
    <row r="328" spans="1:26" ht="12.75" customHeight="1" x14ac:dyDescent="0.2">
      <c r="A328" s="6" t="s">
        <v>2421</v>
      </c>
      <c r="B328" s="6">
        <v>1</v>
      </c>
      <c r="C328" s="6" t="s">
        <v>2422</v>
      </c>
      <c r="E328" s="6" t="s">
        <v>2423</v>
      </c>
      <c r="F328" s="86" t="s">
        <v>683</v>
      </c>
      <c r="G328" s="87"/>
      <c r="H328" s="87"/>
      <c r="I328" s="87"/>
      <c r="J328" s="87"/>
      <c r="K328" s="87"/>
      <c r="L328" s="87"/>
      <c r="M328" s="87"/>
      <c r="N328" s="87"/>
      <c r="O328" s="87"/>
      <c r="P328" s="87"/>
      <c r="Q328" s="87"/>
      <c r="R328" s="87"/>
      <c r="S328" s="87"/>
      <c r="T328" s="87"/>
      <c r="U328" s="87"/>
      <c r="V328" s="87"/>
      <c r="W328" s="87"/>
      <c r="X328" s="87"/>
      <c r="Y328" s="87"/>
      <c r="Z328" s="87"/>
    </row>
    <row r="329" spans="1:26" ht="12.75" customHeight="1" x14ac:dyDescent="0.2">
      <c r="A329" s="6" t="s">
        <v>2421</v>
      </c>
      <c r="B329" s="6">
        <v>2</v>
      </c>
      <c r="C329" s="6" t="s">
        <v>2424</v>
      </c>
      <c r="E329" s="6" t="s">
        <v>2425</v>
      </c>
      <c r="F329" s="86" t="s">
        <v>683</v>
      </c>
      <c r="G329" s="87"/>
      <c r="H329" s="87"/>
      <c r="I329" s="87"/>
      <c r="J329" s="87"/>
      <c r="K329" s="87"/>
      <c r="L329" s="87"/>
      <c r="M329" s="87"/>
      <c r="N329" s="87"/>
      <c r="O329" s="87"/>
      <c r="P329" s="87"/>
      <c r="Q329" s="87"/>
      <c r="R329" s="87"/>
      <c r="S329" s="87"/>
      <c r="T329" s="87"/>
      <c r="U329" s="87"/>
      <c r="V329" s="87"/>
      <c r="W329" s="87"/>
      <c r="X329" s="87"/>
      <c r="Y329" s="87"/>
      <c r="Z329" s="87"/>
    </row>
    <row r="330" spans="1:26" ht="12.75" customHeight="1" x14ac:dyDescent="0.2">
      <c r="A330" s="6" t="s">
        <v>2421</v>
      </c>
      <c r="B330" s="6">
        <v>0</v>
      </c>
      <c r="C330" s="6" t="s">
        <v>2426</v>
      </c>
      <c r="E330" s="6" t="s">
        <v>2427</v>
      </c>
      <c r="F330" s="86" t="s">
        <v>683</v>
      </c>
      <c r="G330" s="87"/>
      <c r="H330" s="87"/>
      <c r="I330" s="87"/>
      <c r="J330" s="87"/>
      <c r="K330" s="87"/>
      <c r="L330" s="87"/>
      <c r="M330" s="87"/>
      <c r="N330" s="87"/>
      <c r="O330" s="87"/>
      <c r="P330" s="87"/>
      <c r="Q330" s="87"/>
      <c r="R330" s="87"/>
      <c r="S330" s="87"/>
      <c r="T330" s="87"/>
      <c r="U330" s="87"/>
      <c r="V330" s="87"/>
      <c r="W330" s="87"/>
      <c r="X330" s="87"/>
      <c r="Y330" s="87"/>
      <c r="Z330" s="87"/>
    </row>
    <row r="331" spans="1:26" ht="12.75" customHeight="1" x14ac:dyDescent="0.2">
      <c r="A331" s="6" t="s">
        <v>2428</v>
      </c>
      <c r="B331" s="6">
        <v>1</v>
      </c>
      <c r="C331" s="6" t="s">
        <v>2429</v>
      </c>
      <c r="E331" s="6" t="s">
        <v>2430</v>
      </c>
      <c r="F331" s="86" t="s">
        <v>683</v>
      </c>
      <c r="G331" s="87"/>
      <c r="H331" s="87"/>
      <c r="I331" s="87"/>
      <c r="J331" s="87"/>
      <c r="K331" s="87"/>
      <c r="L331" s="87"/>
      <c r="M331" s="87"/>
      <c r="N331" s="87"/>
      <c r="O331" s="87"/>
      <c r="P331" s="87"/>
      <c r="Q331" s="87"/>
      <c r="R331" s="87"/>
      <c r="S331" s="87"/>
      <c r="T331" s="87"/>
      <c r="U331" s="87"/>
      <c r="V331" s="87"/>
      <c r="W331" s="87"/>
      <c r="X331" s="87"/>
      <c r="Y331" s="87"/>
      <c r="Z331" s="87"/>
    </row>
    <row r="332" spans="1:26" ht="12.75" customHeight="1" x14ac:dyDescent="0.2">
      <c r="A332" s="6" t="s">
        <v>2428</v>
      </c>
      <c r="B332" s="6">
        <v>2</v>
      </c>
      <c r="C332" s="6" t="s">
        <v>2431</v>
      </c>
      <c r="E332" s="6" t="s">
        <v>2432</v>
      </c>
      <c r="F332" s="86" t="s">
        <v>683</v>
      </c>
      <c r="G332" s="87"/>
      <c r="H332" s="87"/>
      <c r="I332" s="87"/>
      <c r="J332" s="87"/>
      <c r="K332" s="87"/>
      <c r="L332" s="87"/>
      <c r="M332" s="87"/>
      <c r="N332" s="87"/>
      <c r="O332" s="87"/>
      <c r="P332" s="87"/>
      <c r="Q332" s="87"/>
      <c r="R332" s="87"/>
      <c r="S332" s="87"/>
      <c r="T332" s="87"/>
      <c r="U332" s="87"/>
      <c r="V332" s="87"/>
      <c r="W332" s="87"/>
      <c r="X332" s="87"/>
      <c r="Y332" s="87"/>
      <c r="Z332" s="87"/>
    </row>
    <row r="333" spans="1:26" ht="12.75" customHeight="1" x14ac:dyDescent="0.2">
      <c r="A333" s="6" t="s">
        <v>2428</v>
      </c>
      <c r="B333" s="6">
        <v>3</v>
      </c>
      <c r="C333" s="6" t="s">
        <v>2433</v>
      </c>
      <c r="E333" s="6" t="s">
        <v>2433</v>
      </c>
      <c r="F333" s="86" t="s">
        <v>683</v>
      </c>
      <c r="G333" s="87"/>
      <c r="H333" s="87"/>
      <c r="I333" s="87"/>
      <c r="J333" s="87"/>
      <c r="K333" s="87"/>
      <c r="L333" s="87"/>
      <c r="M333" s="87"/>
      <c r="N333" s="87"/>
      <c r="O333" s="87"/>
      <c r="P333" s="87"/>
      <c r="Q333" s="87"/>
      <c r="R333" s="87"/>
      <c r="S333" s="87"/>
      <c r="T333" s="87"/>
      <c r="U333" s="87"/>
      <c r="V333" s="87"/>
      <c r="W333" s="87"/>
      <c r="X333" s="87"/>
      <c r="Y333" s="87"/>
      <c r="Z333" s="87"/>
    </row>
    <row r="334" spans="1:26" ht="12.75" customHeight="1" x14ac:dyDescent="0.2">
      <c r="A334" s="6" t="s">
        <v>2428</v>
      </c>
      <c r="B334" s="6">
        <v>98</v>
      </c>
      <c r="C334" s="6" t="s">
        <v>2116</v>
      </c>
      <c r="E334" s="6" t="s">
        <v>2091</v>
      </c>
      <c r="F334" s="86" t="s">
        <v>683</v>
      </c>
    </row>
    <row r="335" spans="1:26" ht="12.75" customHeight="1" x14ac:dyDescent="0.2">
      <c r="A335" s="6" t="s">
        <v>2428</v>
      </c>
      <c r="B335" s="6">
        <v>97</v>
      </c>
      <c r="C335" s="6" t="s">
        <v>2162</v>
      </c>
      <c r="E335" s="6" t="s">
        <v>2093</v>
      </c>
      <c r="F335" s="86" t="s">
        <v>683</v>
      </c>
    </row>
    <row r="336" spans="1:26" ht="12.75" customHeight="1" x14ac:dyDescent="0.2">
      <c r="A336" s="6" t="s">
        <v>2434</v>
      </c>
      <c r="B336" s="6">
        <v>1</v>
      </c>
      <c r="C336" s="6" t="s">
        <v>2435</v>
      </c>
      <c r="E336" s="6" t="s">
        <v>2436</v>
      </c>
      <c r="F336" s="86" t="s">
        <v>683</v>
      </c>
    </row>
    <row r="337" spans="1:26" ht="12.75" customHeight="1" x14ac:dyDescent="0.2">
      <c r="A337" s="6" t="s">
        <v>2434</v>
      </c>
      <c r="B337" s="6">
        <v>99</v>
      </c>
      <c r="C337" s="6" t="s">
        <v>2437</v>
      </c>
      <c r="E337" s="6" t="s">
        <v>2438</v>
      </c>
      <c r="F337" s="86" t="s">
        <v>683</v>
      </c>
    </row>
    <row r="338" spans="1:26" ht="12.75" customHeight="1" x14ac:dyDescent="0.2">
      <c r="A338" s="6" t="s">
        <v>2434</v>
      </c>
      <c r="B338" s="6">
        <v>97</v>
      </c>
      <c r="C338" s="6" t="s">
        <v>2439</v>
      </c>
      <c r="E338" s="6" t="s">
        <v>2440</v>
      </c>
      <c r="F338" s="86" t="s">
        <v>683</v>
      </c>
    </row>
    <row r="339" spans="1:26" ht="12.75" customHeight="1" x14ac:dyDescent="0.2">
      <c r="A339" s="6" t="s">
        <v>2434</v>
      </c>
      <c r="B339" s="6">
        <v>96</v>
      </c>
      <c r="C339" s="6" t="s">
        <v>730</v>
      </c>
      <c r="E339" s="6" t="s">
        <v>2020</v>
      </c>
      <c r="F339" s="86" t="s">
        <v>683</v>
      </c>
      <c r="G339" s="88"/>
      <c r="H339" s="88"/>
      <c r="I339" s="88"/>
      <c r="J339" s="88"/>
      <c r="K339" s="88"/>
      <c r="L339" s="88"/>
      <c r="M339" s="88"/>
      <c r="N339" s="88"/>
      <c r="O339" s="88"/>
      <c r="P339" s="88"/>
      <c r="Q339" s="88"/>
      <c r="R339" s="88"/>
      <c r="S339" s="88"/>
      <c r="T339" s="88"/>
      <c r="U339" s="88"/>
      <c r="V339" s="88"/>
      <c r="W339" s="88"/>
      <c r="X339" s="88"/>
      <c r="Y339" s="88"/>
      <c r="Z339" s="88"/>
    </row>
    <row r="340" spans="1:26" ht="12.75" customHeight="1" x14ac:dyDescent="0.2">
      <c r="A340" s="6" t="s">
        <v>2441</v>
      </c>
      <c r="B340" s="6">
        <v>1</v>
      </c>
      <c r="C340" s="6" t="s">
        <v>2315</v>
      </c>
      <c r="E340" s="6" t="s">
        <v>2316</v>
      </c>
      <c r="F340" s="86" t="s">
        <v>683</v>
      </c>
      <c r="G340" s="87"/>
      <c r="H340" s="87"/>
      <c r="I340" s="87"/>
      <c r="J340" s="87"/>
      <c r="K340" s="87"/>
      <c r="L340" s="87"/>
      <c r="M340" s="87"/>
      <c r="N340" s="87"/>
      <c r="O340" s="87"/>
      <c r="P340" s="87"/>
      <c r="Q340" s="87"/>
      <c r="R340" s="87"/>
      <c r="S340" s="87"/>
      <c r="T340" s="87"/>
      <c r="U340" s="87"/>
      <c r="V340" s="87"/>
      <c r="W340" s="87"/>
      <c r="X340" s="87"/>
      <c r="Y340" s="87"/>
      <c r="Z340" s="87"/>
    </row>
    <row r="341" spans="1:26" ht="12.75" customHeight="1" x14ac:dyDescent="0.2">
      <c r="A341" s="6" t="s">
        <v>2441</v>
      </c>
      <c r="B341" s="6">
        <v>0</v>
      </c>
      <c r="C341" s="6" t="s">
        <v>1486</v>
      </c>
      <c r="E341" s="6" t="s">
        <v>2442</v>
      </c>
      <c r="F341" s="86" t="s">
        <v>683</v>
      </c>
      <c r="G341" s="87"/>
      <c r="H341" s="87"/>
      <c r="I341" s="87"/>
      <c r="J341" s="87"/>
      <c r="K341" s="87"/>
      <c r="L341" s="87"/>
      <c r="M341" s="87"/>
      <c r="N341" s="87"/>
      <c r="O341" s="87"/>
      <c r="P341" s="87"/>
      <c r="Q341" s="87"/>
      <c r="R341" s="87"/>
      <c r="S341" s="87"/>
      <c r="T341" s="87"/>
      <c r="U341" s="87"/>
      <c r="V341" s="87"/>
      <c r="W341" s="87"/>
      <c r="X341" s="87"/>
      <c r="Y341" s="87"/>
      <c r="Z341" s="87"/>
    </row>
    <row r="342" spans="1:26" ht="12.75" customHeight="1" x14ac:dyDescent="0.2">
      <c r="A342" s="6" t="s">
        <v>2443</v>
      </c>
      <c r="B342" s="6">
        <v>1</v>
      </c>
      <c r="C342" s="6" t="s">
        <v>2315</v>
      </c>
      <c r="E342" s="6" t="s">
        <v>2316</v>
      </c>
      <c r="F342" s="86" t="s">
        <v>683</v>
      </c>
      <c r="G342" s="87"/>
      <c r="H342" s="87"/>
      <c r="I342" s="87"/>
      <c r="J342" s="87"/>
      <c r="K342" s="87"/>
      <c r="L342" s="87"/>
      <c r="M342" s="87"/>
      <c r="N342" s="87"/>
      <c r="O342" s="87"/>
      <c r="P342" s="87"/>
      <c r="Q342" s="87"/>
      <c r="R342" s="87"/>
      <c r="S342" s="87"/>
      <c r="T342" s="87"/>
      <c r="U342" s="87"/>
      <c r="V342" s="87"/>
      <c r="W342" s="87"/>
      <c r="X342" s="87"/>
      <c r="Y342" s="87"/>
      <c r="Z342" s="87"/>
    </row>
    <row r="343" spans="1:26" ht="12.75" customHeight="1" x14ac:dyDescent="0.2">
      <c r="A343" s="6" t="s">
        <v>2443</v>
      </c>
      <c r="B343" s="6">
        <v>0</v>
      </c>
      <c r="C343" s="6" t="s">
        <v>1486</v>
      </c>
      <c r="E343" s="6" t="s">
        <v>2442</v>
      </c>
      <c r="F343" s="86" t="s">
        <v>683</v>
      </c>
      <c r="G343" s="87"/>
      <c r="H343" s="87"/>
      <c r="I343" s="87"/>
      <c r="J343" s="87"/>
      <c r="K343" s="87"/>
      <c r="L343" s="87"/>
      <c r="M343" s="87"/>
      <c r="N343" s="87"/>
      <c r="O343" s="87"/>
      <c r="P343" s="87"/>
      <c r="Q343" s="87"/>
      <c r="R343" s="87"/>
      <c r="S343" s="87"/>
      <c r="T343" s="87"/>
      <c r="U343" s="87"/>
      <c r="V343" s="87"/>
      <c r="W343" s="87"/>
      <c r="X343" s="87"/>
      <c r="Y343" s="87"/>
      <c r="Z343" s="87"/>
    </row>
    <row r="344" spans="1:26" ht="12.75" customHeight="1" x14ac:dyDescent="0.2">
      <c r="A344" s="6" t="s">
        <v>2443</v>
      </c>
      <c r="B344" s="6">
        <v>98</v>
      </c>
      <c r="C344" s="6" t="s">
        <v>2116</v>
      </c>
      <c r="E344" s="6" t="s">
        <v>2091</v>
      </c>
      <c r="F344" s="86" t="s">
        <v>683</v>
      </c>
      <c r="G344" s="87"/>
      <c r="H344" s="87"/>
      <c r="I344" s="87"/>
      <c r="J344" s="87"/>
      <c r="K344" s="87"/>
      <c r="L344" s="87"/>
      <c r="M344" s="87"/>
      <c r="N344" s="87"/>
      <c r="O344" s="87"/>
      <c r="P344" s="87"/>
      <c r="Q344" s="87"/>
      <c r="R344" s="87"/>
      <c r="S344" s="87"/>
      <c r="T344" s="87"/>
      <c r="U344" s="87"/>
      <c r="V344" s="87"/>
      <c r="W344" s="87"/>
      <c r="X344" s="87"/>
      <c r="Y344" s="87"/>
      <c r="Z344" s="87"/>
    </row>
    <row r="345" spans="1:26" ht="12.75" customHeight="1" x14ac:dyDescent="0.2">
      <c r="A345" s="6" t="s">
        <v>2444</v>
      </c>
      <c r="B345" s="6">
        <v>1</v>
      </c>
      <c r="C345" s="6" t="s">
        <v>2315</v>
      </c>
      <c r="E345" s="6" t="s">
        <v>2316</v>
      </c>
      <c r="F345" s="86" t="s">
        <v>683</v>
      </c>
      <c r="G345" s="87"/>
      <c r="H345" s="87"/>
      <c r="I345" s="87"/>
      <c r="J345" s="87"/>
      <c r="K345" s="87"/>
      <c r="L345" s="87"/>
      <c r="M345" s="87"/>
      <c r="N345" s="87"/>
      <c r="O345" s="87"/>
      <c r="P345" s="87"/>
      <c r="Q345" s="87"/>
      <c r="R345" s="87"/>
      <c r="S345" s="87"/>
      <c r="T345" s="87"/>
      <c r="U345" s="87"/>
      <c r="V345" s="87"/>
      <c r="W345" s="87"/>
      <c r="X345" s="87"/>
      <c r="Y345" s="87"/>
      <c r="Z345" s="87"/>
    </row>
    <row r="346" spans="1:26" ht="12.75" customHeight="1" x14ac:dyDescent="0.2">
      <c r="A346" s="6" t="s">
        <v>2444</v>
      </c>
      <c r="B346" s="6">
        <v>0</v>
      </c>
      <c r="C346" s="6" t="s">
        <v>1486</v>
      </c>
      <c r="E346" s="6" t="s">
        <v>2442</v>
      </c>
      <c r="F346" s="86" t="s">
        <v>683</v>
      </c>
      <c r="G346" s="87"/>
      <c r="H346" s="87"/>
      <c r="I346" s="87"/>
      <c r="J346" s="87"/>
      <c r="K346" s="87"/>
      <c r="L346" s="87"/>
      <c r="M346" s="87"/>
      <c r="N346" s="87"/>
      <c r="O346" s="87"/>
      <c r="P346" s="87"/>
      <c r="Q346" s="87"/>
      <c r="R346" s="87"/>
      <c r="S346" s="87"/>
      <c r="T346" s="87"/>
      <c r="U346" s="87"/>
      <c r="V346" s="87"/>
      <c r="W346" s="87"/>
      <c r="X346" s="87"/>
      <c r="Y346" s="87"/>
      <c r="Z346" s="87"/>
    </row>
    <row r="347" spans="1:26" ht="12.75" customHeight="1" x14ac:dyDescent="0.2">
      <c r="A347" s="6" t="s">
        <v>2444</v>
      </c>
      <c r="B347" s="6">
        <v>98</v>
      </c>
      <c r="C347" s="6" t="s">
        <v>2116</v>
      </c>
      <c r="E347" s="6" t="s">
        <v>2091</v>
      </c>
      <c r="F347" s="86" t="s">
        <v>683</v>
      </c>
      <c r="G347" s="87"/>
      <c r="H347" s="87"/>
      <c r="I347" s="87"/>
      <c r="J347" s="87"/>
      <c r="K347" s="87"/>
      <c r="L347" s="87"/>
      <c r="M347" s="87"/>
      <c r="N347" s="87"/>
      <c r="O347" s="87"/>
      <c r="P347" s="87"/>
      <c r="Q347" s="87"/>
      <c r="R347" s="87"/>
      <c r="S347" s="87"/>
      <c r="T347" s="87"/>
      <c r="U347" s="87"/>
      <c r="V347" s="87"/>
      <c r="W347" s="87"/>
      <c r="X347" s="87"/>
      <c r="Y347" s="87"/>
      <c r="Z347" s="87"/>
    </row>
    <row r="348" spans="1:26" ht="12.75" customHeight="1" x14ac:dyDescent="0.2">
      <c r="A348" s="6" t="s">
        <v>2444</v>
      </c>
      <c r="B348" s="6">
        <v>99</v>
      </c>
      <c r="C348" s="6" t="s">
        <v>2341</v>
      </c>
      <c r="E348" s="6" t="s">
        <v>2342</v>
      </c>
      <c r="F348" s="86" t="s">
        <v>683</v>
      </c>
      <c r="G348" s="87"/>
      <c r="H348" s="87"/>
      <c r="I348" s="87"/>
      <c r="J348" s="87"/>
      <c r="K348" s="87"/>
      <c r="L348" s="87"/>
      <c r="M348" s="87"/>
      <c r="N348" s="87"/>
      <c r="O348" s="87"/>
      <c r="P348" s="87"/>
      <c r="Q348" s="87"/>
      <c r="R348" s="87"/>
      <c r="S348" s="87"/>
      <c r="T348" s="87"/>
      <c r="U348" s="87"/>
      <c r="V348" s="87"/>
      <c r="W348" s="87"/>
      <c r="X348" s="87"/>
      <c r="Y348" s="87"/>
      <c r="Z348" s="87"/>
    </row>
    <row r="349" spans="1:26" ht="12.75" customHeight="1" x14ac:dyDescent="0.2">
      <c r="A349" s="6" t="s">
        <v>2445</v>
      </c>
      <c r="B349" s="6">
        <v>1</v>
      </c>
      <c r="C349" s="6" t="s">
        <v>2315</v>
      </c>
      <c r="E349" s="6" t="s">
        <v>2316</v>
      </c>
      <c r="F349" s="86" t="s">
        <v>683</v>
      </c>
      <c r="G349" s="87"/>
      <c r="H349" s="87"/>
      <c r="I349" s="87"/>
      <c r="J349" s="87"/>
      <c r="K349" s="87"/>
      <c r="L349" s="87"/>
      <c r="M349" s="87"/>
      <c r="N349" s="87"/>
      <c r="O349" s="87"/>
      <c r="P349" s="87"/>
      <c r="Q349" s="87"/>
      <c r="R349" s="87"/>
      <c r="S349" s="87"/>
      <c r="T349" s="87"/>
      <c r="U349" s="87"/>
      <c r="V349" s="87"/>
      <c r="W349" s="87"/>
      <c r="X349" s="87"/>
      <c r="Y349" s="87"/>
      <c r="Z349" s="87"/>
    </row>
    <row r="350" spans="1:26" ht="12.75" customHeight="1" x14ac:dyDescent="0.2">
      <c r="A350" s="6" t="s">
        <v>2445</v>
      </c>
      <c r="B350" s="6">
        <v>0</v>
      </c>
      <c r="C350" s="6" t="s">
        <v>1486</v>
      </c>
      <c r="E350" s="6" t="s">
        <v>2442</v>
      </c>
      <c r="F350" s="86" t="s">
        <v>683</v>
      </c>
      <c r="G350" s="87"/>
      <c r="H350" s="87"/>
      <c r="I350" s="87"/>
      <c r="J350" s="87"/>
      <c r="K350" s="87"/>
      <c r="L350" s="87"/>
      <c r="M350" s="87"/>
      <c r="N350" s="87"/>
      <c r="O350" s="87"/>
      <c r="P350" s="87"/>
      <c r="Q350" s="87"/>
      <c r="R350" s="87"/>
      <c r="S350" s="87"/>
      <c r="T350" s="87"/>
      <c r="U350" s="87"/>
      <c r="V350" s="87"/>
      <c r="W350" s="87"/>
      <c r="X350" s="87"/>
      <c r="Y350" s="87"/>
      <c r="Z350" s="87"/>
    </row>
    <row r="351" spans="1:26" ht="12.75" customHeight="1" x14ac:dyDescent="0.2">
      <c r="A351" s="6" t="s">
        <v>2445</v>
      </c>
      <c r="B351" s="6">
        <v>97</v>
      </c>
      <c r="C351" s="6" t="s">
        <v>2129</v>
      </c>
      <c r="E351" s="6" t="s">
        <v>2130</v>
      </c>
      <c r="F351" s="86" t="s">
        <v>683</v>
      </c>
      <c r="G351" s="87"/>
      <c r="H351" s="87"/>
      <c r="I351" s="87"/>
      <c r="J351" s="87"/>
      <c r="K351" s="87"/>
      <c r="L351" s="87"/>
      <c r="M351" s="87"/>
      <c r="N351" s="87"/>
      <c r="O351" s="87"/>
      <c r="P351" s="87"/>
      <c r="Q351" s="87"/>
      <c r="R351" s="87"/>
      <c r="S351" s="87"/>
      <c r="T351" s="87"/>
      <c r="U351" s="87"/>
      <c r="V351" s="87"/>
      <c r="W351" s="87"/>
      <c r="X351" s="87"/>
      <c r="Y351" s="87"/>
      <c r="Z351" s="87"/>
    </row>
    <row r="352" spans="1:26" ht="12.75" customHeight="1" x14ac:dyDescent="0.2">
      <c r="A352" s="6" t="s">
        <v>2445</v>
      </c>
      <c r="B352" s="6">
        <v>98</v>
      </c>
      <c r="C352" s="6" t="s">
        <v>2116</v>
      </c>
      <c r="E352" s="6" t="s">
        <v>2091</v>
      </c>
      <c r="F352" s="86" t="s">
        <v>683</v>
      </c>
      <c r="G352" s="87"/>
      <c r="H352" s="87"/>
      <c r="I352" s="87"/>
      <c r="J352" s="87"/>
      <c r="K352" s="87"/>
      <c r="L352" s="87"/>
      <c r="M352" s="87"/>
      <c r="N352" s="87"/>
      <c r="O352" s="87"/>
      <c r="P352" s="87"/>
      <c r="Q352" s="87"/>
      <c r="R352" s="87"/>
      <c r="S352" s="87"/>
      <c r="T352" s="87"/>
      <c r="U352" s="87"/>
      <c r="V352" s="87"/>
      <c r="W352" s="87"/>
      <c r="X352" s="87"/>
      <c r="Y352" s="87"/>
      <c r="Z352" s="87"/>
    </row>
    <row r="353" spans="1:26" ht="12.75" customHeight="1" x14ac:dyDescent="0.2">
      <c r="A353" s="6" t="s">
        <v>2446</v>
      </c>
      <c r="B353" s="6">
        <v>1</v>
      </c>
      <c r="C353" s="6" t="s">
        <v>2447</v>
      </c>
      <c r="E353" s="6" t="s">
        <v>2448</v>
      </c>
      <c r="F353" s="86" t="s">
        <v>683</v>
      </c>
      <c r="G353" s="87"/>
      <c r="H353" s="87"/>
      <c r="I353" s="87"/>
      <c r="J353" s="87"/>
      <c r="K353" s="87"/>
      <c r="L353" s="87"/>
      <c r="M353" s="87"/>
      <c r="N353" s="87"/>
      <c r="O353" s="87"/>
      <c r="P353" s="87"/>
      <c r="Q353" s="87"/>
      <c r="R353" s="87"/>
      <c r="S353" s="87"/>
      <c r="T353" s="87"/>
      <c r="U353" s="87"/>
      <c r="V353" s="87"/>
      <c r="W353" s="87"/>
      <c r="X353" s="87"/>
      <c r="Y353" s="87"/>
      <c r="Z353" s="87"/>
    </row>
    <row r="354" spans="1:26" ht="12.75" customHeight="1" x14ac:dyDescent="0.2">
      <c r="A354" s="6" t="s">
        <v>2161</v>
      </c>
      <c r="B354" s="6">
        <v>1</v>
      </c>
      <c r="C354" s="6" t="s">
        <v>2449</v>
      </c>
      <c r="E354" s="6" t="s">
        <v>2450</v>
      </c>
      <c r="F354" s="86" t="s">
        <v>683</v>
      </c>
      <c r="G354" s="87"/>
      <c r="H354" s="87"/>
      <c r="I354" s="87"/>
      <c r="J354" s="87"/>
      <c r="K354" s="87"/>
      <c r="L354" s="87"/>
      <c r="M354" s="87"/>
      <c r="N354" s="87"/>
      <c r="O354" s="87"/>
      <c r="P354" s="87"/>
      <c r="Q354" s="87"/>
      <c r="R354" s="87"/>
      <c r="S354" s="87"/>
      <c r="T354" s="87"/>
      <c r="U354" s="87"/>
      <c r="V354" s="87"/>
      <c r="W354" s="87"/>
      <c r="X354" s="87"/>
      <c r="Y354" s="87"/>
      <c r="Z354" s="87"/>
    </row>
    <row r="355" spans="1:26" ht="12.75" customHeight="1" x14ac:dyDescent="0.2">
      <c r="A355" s="6" t="s">
        <v>2161</v>
      </c>
      <c r="B355" s="6">
        <v>2</v>
      </c>
      <c r="C355" s="6" t="s">
        <v>2451</v>
      </c>
      <c r="E355" s="6" t="s">
        <v>2452</v>
      </c>
      <c r="F355" s="86" t="s">
        <v>683</v>
      </c>
      <c r="G355" s="87"/>
      <c r="H355" s="87"/>
      <c r="I355" s="87"/>
      <c r="J355" s="87"/>
      <c r="K355" s="87"/>
      <c r="L355" s="87"/>
      <c r="M355" s="87"/>
      <c r="N355" s="87"/>
      <c r="O355" s="87"/>
      <c r="P355" s="87"/>
      <c r="Q355" s="87"/>
      <c r="R355" s="87"/>
      <c r="S355" s="87"/>
      <c r="T355" s="87"/>
      <c r="U355" s="87"/>
      <c r="V355" s="87"/>
      <c r="W355" s="87"/>
      <c r="X355" s="87"/>
      <c r="Y355" s="87"/>
      <c r="Z355" s="87"/>
    </row>
    <row r="356" spans="1:26" ht="12.75" customHeight="1" x14ac:dyDescent="0.2">
      <c r="A356" s="6" t="s">
        <v>2161</v>
      </c>
      <c r="B356" s="6">
        <v>3</v>
      </c>
      <c r="C356" s="6" t="s">
        <v>2453</v>
      </c>
      <c r="E356" s="6" t="s">
        <v>2454</v>
      </c>
      <c r="F356" s="86" t="s">
        <v>683</v>
      </c>
    </row>
    <row r="357" spans="1:26" ht="12.75" customHeight="1" x14ac:dyDescent="0.2">
      <c r="A357" s="6" t="s">
        <v>2161</v>
      </c>
      <c r="B357" s="6">
        <v>96</v>
      </c>
      <c r="C357" s="6" t="s">
        <v>730</v>
      </c>
      <c r="E357" s="6" t="s">
        <v>2020</v>
      </c>
      <c r="F357" s="86" t="s">
        <v>683</v>
      </c>
    </row>
    <row r="358" spans="1:26" ht="12.75" customHeight="1" x14ac:dyDescent="0.2">
      <c r="A358" s="6" t="s">
        <v>2161</v>
      </c>
      <c r="B358" s="6">
        <v>98</v>
      </c>
      <c r="C358" s="6" t="s">
        <v>2116</v>
      </c>
      <c r="E358" s="6" t="s">
        <v>2091</v>
      </c>
      <c r="F358" s="86" t="s">
        <v>683</v>
      </c>
    </row>
    <row r="359" spans="1:26" ht="12.75" customHeight="1" x14ac:dyDescent="0.2">
      <c r="A359" s="6" t="s">
        <v>2455</v>
      </c>
      <c r="B359" s="6">
        <v>1</v>
      </c>
      <c r="C359" s="6" t="s">
        <v>2315</v>
      </c>
      <c r="E359" s="6" t="s">
        <v>2316</v>
      </c>
      <c r="F359" s="86" t="s">
        <v>683</v>
      </c>
    </row>
    <row r="360" spans="1:26" ht="12.75" customHeight="1" x14ac:dyDescent="0.2">
      <c r="A360" s="6" t="s">
        <v>2455</v>
      </c>
      <c r="B360" s="6">
        <v>0</v>
      </c>
      <c r="C360" s="6" t="s">
        <v>1486</v>
      </c>
      <c r="E360" s="6" t="s">
        <v>2442</v>
      </c>
      <c r="F360" s="86" t="s">
        <v>683</v>
      </c>
    </row>
    <row r="361" spans="1:26" ht="12.75" customHeight="1" x14ac:dyDescent="0.2">
      <c r="A361" s="6" t="s">
        <v>2456</v>
      </c>
      <c r="B361" s="6">
        <v>1</v>
      </c>
      <c r="C361" s="6" t="s">
        <v>2457</v>
      </c>
      <c r="E361" s="6" t="s">
        <v>2458</v>
      </c>
      <c r="F361" s="86" t="s">
        <v>683</v>
      </c>
    </row>
    <row r="362" spans="1:26" ht="12.75" customHeight="1" x14ac:dyDescent="0.2">
      <c r="A362" s="6" t="s">
        <v>2456</v>
      </c>
      <c r="B362" s="6">
        <v>2</v>
      </c>
      <c r="C362" s="6" t="s">
        <v>2459</v>
      </c>
      <c r="E362" s="6" t="s">
        <v>2460</v>
      </c>
      <c r="F362" s="86" t="s">
        <v>683</v>
      </c>
    </row>
    <row r="363" spans="1:26" ht="12.75" customHeight="1" x14ac:dyDescent="0.2">
      <c r="A363" s="6" t="s">
        <v>2456</v>
      </c>
      <c r="B363" s="6">
        <v>3</v>
      </c>
      <c r="C363" s="6" t="s">
        <v>2461</v>
      </c>
      <c r="E363" s="6" t="s">
        <v>2462</v>
      </c>
      <c r="F363" s="86" t="s">
        <v>683</v>
      </c>
    </row>
    <row r="364" spans="1:26" ht="12.75" customHeight="1" x14ac:dyDescent="0.2">
      <c r="A364" s="6" t="s">
        <v>2456</v>
      </c>
      <c r="B364" s="6">
        <v>4</v>
      </c>
      <c r="C364" s="6" t="s">
        <v>2463</v>
      </c>
      <c r="E364" s="6" t="s">
        <v>2464</v>
      </c>
      <c r="F364" s="86" t="s">
        <v>683</v>
      </c>
    </row>
    <row r="365" spans="1:26" ht="12.75" customHeight="1" x14ac:dyDescent="0.2">
      <c r="A365" s="6" t="s">
        <v>2456</v>
      </c>
      <c r="B365" s="6">
        <v>5</v>
      </c>
      <c r="C365" s="6" t="s">
        <v>2465</v>
      </c>
      <c r="E365" s="6" t="s">
        <v>2466</v>
      </c>
      <c r="F365" s="86" t="s">
        <v>683</v>
      </c>
    </row>
    <row r="366" spans="1:26" ht="12.75" customHeight="1" x14ac:dyDescent="0.2">
      <c r="A366" s="6" t="s">
        <v>2456</v>
      </c>
      <c r="B366" s="6">
        <v>6</v>
      </c>
      <c r="C366" s="6" t="s">
        <v>2467</v>
      </c>
      <c r="E366" s="6" t="s">
        <v>2467</v>
      </c>
      <c r="F366" s="86" t="s">
        <v>683</v>
      </c>
    </row>
    <row r="367" spans="1:26" ht="12.75" customHeight="1" x14ac:dyDescent="0.2">
      <c r="A367" s="6" t="s">
        <v>2456</v>
      </c>
      <c r="B367" s="6">
        <v>96</v>
      </c>
      <c r="C367" s="6" t="s">
        <v>2468</v>
      </c>
      <c r="E367" s="6" t="s">
        <v>2469</v>
      </c>
      <c r="F367" s="86" t="s">
        <v>683</v>
      </c>
    </row>
    <row r="368" spans="1:26" ht="12.75" customHeight="1" x14ac:dyDescent="0.2">
      <c r="A368" s="6" t="s">
        <v>2470</v>
      </c>
      <c r="B368" s="6">
        <v>1</v>
      </c>
      <c r="C368" s="6" t="s">
        <v>2471</v>
      </c>
      <c r="E368" s="6" t="s">
        <v>2471</v>
      </c>
      <c r="F368" s="86" t="s">
        <v>683</v>
      </c>
    </row>
    <row r="369" spans="1:6" ht="12.75" customHeight="1" x14ac:dyDescent="0.2">
      <c r="A369" s="6" t="s">
        <v>2470</v>
      </c>
      <c r="B369" s="6">
        <v>2</v>
      </c>
      <c r="C369" s="6" t="s">
        <v>2472</v>
      </c>
      <c r="E369" s="6" t="s">
        <v>2473</v>
      </c>
      <c r="F369" s="86" t="s">
        <v>683</v>
      </c>
    </row>
    <row r="370" spans="1:6" ht="12.75" customHeight="1" x14ac:dyDescent="0.2">
      <c r="A370" s="6" t="s">
        <v>2470</v>
      </c>
      <c r="B370" s="6">
        <v>3</v>
      </c>
      <c r="C370" s="6" t="s">
        <v>2474</v>
      </c>
      <c r="E370" s="6" t="s">
        <v>2475</v>
      </c>
      <c r="F370" s="86" t="s">
        <v>683</v>
      </c>
    </row>
    <row r="371" spans="1:6" ht="12.75" customHeight="1" x14ac:dyDescent="0.2">
      <c r="A371" s="6" t="s">
        <v>2470</v>
      </c>
      <c r="B371" s="6">
        <v>4</v>
      </c>
      <c r="C371" s="6" t="s">
        <v>2022</v>
      </c>
      <c r="E371" s="6" t="s">
        <v>2022</v>
      </c>
      <c r="F371" s="86" t="s">
        <v>683</v>
      </c>
    </row>
    <row r="372" spans="1:6" ht="12.75" customHeight="1" x14ac:dyDescent="0.2">
      <c r="A372" s="6" t="s">
        <v>2470</v>
      </c>
      <c r="B372" s="6">
        <v>96</v>
      </c>
      <c r="C372" s="6" t="s">
        <v>730</v>
      </c>
      <c r="E372" s="6" t="s">
        <v>2020</v>
      </c>
      <c r="F372" s="86" t="s">
        <v>683</v>
      </c>
    </row>
    <row r="373" spans="1:6" ht="12.75" customHeight="1" x14ac:dyDescent="0.2">
      <c r="A373" s="6" t="s">
        <v>2470</v>
      </c>
      <c r="B373" s="6">
        <v>97</v>
      </c>
      <c r="C373" s="6" t="s">
        <v>2129</v>
      </c>
      <c r="E373" s="6" t="s">
        <v>2130</v>
      </c>
      <c r="F373" s="86" t="s">
        <v>683</v>
      </c>
    </row>
    <row r="374" spans="1:6" ht="12.75" customHeight="1" x14ac:dyDescent="0.2">
      <c r="A374" s="6" t="s">
        <v>2470</v>
      </c>
      <c r="B374" s="6">
        <v>98</v>
      </c>
      <c r="C374" s="6" t="s">
        <v>2116</v>
      </c>
      <c r="E374" s="6" t="s">
        <v>2091</v>
      </c>
      <c r="F374" s="86" t="s">
        <v>683</v>
      </c>
    </row>
    <row r="375" spans="1:6" ht="12.75" customHeight="1" x14ac:dyDescent="0.2">
      <c r="A375" s="6" t="s">
        <v>2476</v>
      </c>
      <c r="B375" s="6">
        <v>1</v>
      </c>
      <c r="C375" s="85" t="s">
        <v>2477</v>
      </c>
      <c r="E375" s="85" t="s">
        <v>2477</v>
      </c>
      <c r="F375" s="86" t="s">
        <v>683</v>
      </c>
    </row>
    <row r="376" spans="1:6" ht="12.75" customHeight="1" x14ac:dyDescent="0.2">
      <c r="A376" s="6" t="s">
        <v>2476</v>
      </c>
      <c r="B376" s="6">
        <v>2</v>
      </c>
      <c r="C376" s="85" t="s">
        <v>2478</v>
      </c>
      <c r="E376" s="85" t="s">
        <v>2478</v>
      </c>
      <c r="F376" s="86" t="s">
        <v>683</v>
      </c>
    </row>
    <row r="377" spans="1:6" ht="12.75" customHeight="1" x14ac:dyDescent="0.2">
      <c r="A377" s="6" t="s">
        <v>2476</v>
      </c>
      <c r="B377" s="6">
        <v>4</v>
      </c>
      <c r="C377" s="85" t="s">
        <v>2479</v>
      </c>
      <c r="E377" s="85" t="s">
        <v>2479</v>
      </c>
      <c r="F377" s="86" t="s">
        <v>683</v>
      </c>
    </row>
    <row r="378" spans="1:6" ht="12.75" customHeight="1" x14ac:dyDescent="0.2">
      <c r="A378" s="6" t="s">
        <v>2476</v>
      </c>
      <c r="B378" s="6">
        <v>5</v>
      </c>
      <c r="C378" s="85" t="s">
        <v>2480</v>
      </c>
      <c r="E378" s="85" t="s">
        <v>2480</v>
      </c>
      <c r="F378" s="86" t="s">
        <v>683</v>
      </c>
    </row>
    <row r="379" spans="1:6" ht="12.75" customHeight="1" x14ac:dyDescent="0.2">
      <c r="A379" s="6" t="s">
        <v>2476</v>
      </c>
      <c r="B379" s="6">
        <v>8</v>
      </c>
      <c r="C379" s="6" t="s">
        <v>2290</v>
      </c>
      <c r="E379" s="6" t="s">
        <v>2291</v>
      </c>
      <c r="F379" s="86" t="s">
        <v>683</v>
      </c>
    </row>
    <row r="380" spans="1:6" ht="12.75" customHeight="1" x14ac:dyDescent="0.2">
      <c r="A380" s="6" t="s">
        <v>2476</v>
      </c>
      <c r="B380" s="6">
        <v>96</v>
      </c>
      <c r="C380" s="6" t="s">
        <v>730</v>
      </c>
      <c r="E380" s="6" t="s">
        <v>2020</v>
      </c>
      <c r="F380" s="86" t="s">
        <v>683</v>
      </c>
    </row>
    <row r="381" spans="1:6" ht="12.75" customHeight="1" x14ac:dyDescent="0.2">
      <c r="A381" s="6" t="s">
        <v>2481</v>
      </c>
      <c r="B381" s="6">
        <v>1</v>
      </c>
      <c r="C381" s="6" t="s">
        <v>2482</v>
      </c>
      <c r="E381" s="6" t="s">
        <v>2483</v>
      </c>
      <c r="F381" s="86" t="s">
        <v>683</v>
      </c>
    </row>
    <row r="382" spans="1:6" ht="12.75" customHeight="1" x14ac:dyDescent="0.2">
      <c r="A382" s="6" t="s">
        <v>2481</v>
      </c>
      <c r="B382" s="6">
        <v>2</v>
      </c>
      <c r="C382" s="6" t="s">
        <v>2484</v>
      </c>
      <c r="E382" s="6" t="s">
        <v>2485</v>
      </c>
      <c r="F382" s="86" t="s">
        <v>683</v>
      </c>
    </row>
    <row r="383" spans="1:6" ht="12.75" customHeight="1" x14ac:dyDescent="0.2">
      <c r="A383" s="6" t="s">
        <v>2481</v>
      </c>
      <c r="B383" s="6">
        <v>3</v>
      </c>
      <c r="C383" s="6" t="s">
        <v>2486</v>
      </c>
      <c r="E383" s="6" t="s">
        <v>2487</v>
      </c>
      <c r="F383" s="86" t="s">
        <v>683</v>
      </c>
    </row>
    <row r="384" spans="1:6" ht="12.75" customHeight="1" x14ac:dyDescent="0.2">
      <c r="A384" s="6" t="s">
        <v>2481</v>
      </c>
      <c r="B384" s="6">
        <v>98</v>
      </c>
      <c r="C384" s="6" t="s">
        <v>2212</v>
      </c>
      <c r="E384" s="6" t="s">
        <v>2091</v>
      </c>
      <c r="F384" s="86" t="s">
        <v>683</v>
      </c>
    </row>
    <row r="385" spans="1:6" ht="12.75" customHeight="1" x14ac:dyDescent="0.2">
      <c r="A385" s="6" t="s">
        <v>2488</v>
      </c>
      <c r="B385" s="6">
        <v>1</v>
      </c>
      <c r="C385" s="6" t="s">
        <v>2489</v>
      </c>
      <c r="E385" s="6" t="s">
        <v>2490</v>
      </c>
      <c r="F385" s="86" t="s">
        <v>683</v>
      </c>
    </row>
    <row r="386" spans="1:6" ht="12.75" customHeight="1" x14ac:dyDescent="0.2">
      <c r="A386" s="6" t="s">
        <v>2488</v>
      </c>
      <c r="B386" s="6">
        <v>2</v>
      </c>
      <c r="C386" s="6" t="s">
        <v>2491</v>
      </c>
      <c r="E386" s="6" t="s">
        <v>2492</v>
      </c>
      <c r="F386" s="86" t="s">
        <v>683</v>
      </c>
    </row>
    <row r="387" spans="1:6" ht="12.75" customHeight="1" x14ac:dyDescent="0.2">
      <c r="A387" s="6" t="s">
        <v>2488</v>
      </c>
      <c r="B387" s="6">
        <v>3</v>
      </c>
      <c r="C387" s="6" t="s">
        <v>2493</v>
      </c>
      <c r="E387" s="6" t="s">
        <v>2494</v>
      </c>
      <c r="F387" s="86" t="s">
        <v>683</v>
      </c>
    </row>
    <row r="388" spans="1:6" ht="12.75" customHeight="1" x14ac:dyDescent="0.2">
      <c r="A388" s="6" t="s">
        <v>2488</v>
      </c>
      <c r="B388" s="6">
        <v>96</v>
      </c>
      <c r="C388" s="6" t="s">
        <v>2259</v>
      </c>
      <c r="E388" s="6" t="s">
        <v>2260</v>
      </c>
      <c r="F388" s="86" t="s">
        <v>683</v>
      </c>
    </row>
    <row r="389" spans="1:6" ht="12.75" customHeight="1" x14ac:dyDescent="0.2">
      <c r="A389" s="6" t="s">
        <v>1652</v>
      </c>
      <c r="B389" s="6" t="s">
        <v>2283</v>
      </c>
      <c r="C389" s="6" t="s">
        <v>1699</v>
      </c>
      <c r="E389" s="6" t="s">
        <v>1699</v>
      </c>
      <c r="F389" s="86" t="s">
        <v>683</v>
      </c>
    </row>
    <row r="390" spans="1:6" ht="12.75" customHeight="1" x14ac:dyDescent="0.2">
      <c r="A390" s="6" t="s">
        <v>2495</v>
      </c>
      <c r="B390" s="6">
        <v>1</v>
      </c>
      <c r="C390" s="6" t="s">
        <v>2496</v>
      </c>
      <c r="E390" s="6" t="s">
        <v>2497</v>
      </c>
      <c r="F390" s="86" t="s">
        <v>683</v>
      </c>
    </row>
    <row r="391" spans="1:6" ht="12.75" customHeight="1" x14ac:dyDescent="0.2">
      <c r="A391" s="6" t="s">
        <v>2495</v>
      </c>
      <c r="B391" s="6">
        <v>2</v>
      </c>
      <c r="C391" s="6" t="s">
        <v>2498</v>
      </c>
      <c r="E391" s="6" t="s">
        <v>2499</v>
      </c>
      <c r="F391" s="86" t="s">
        <v>683</v>
      </c>
    </row>
    <row r="392" spans="1:6" ht="12.75" customHeight="1" x14ac:dyDescent="0.2">
      <c r="A392" s="6" t="s">
        <v>2495</v>
      </c>
      <c r="B392" s="6">
        <v>3</v>
      </c>
      <c r="C392" s="6" t="s">
        <v>2500</v>
      </c>
      <c r="E392" s="6" t="s">
        <v>2501</v>
      </c>
      <c r="F392" s="86" t="s">
        <v>683</v>
      </c>
    </row>
    <row r="393" spans="1:6" ht="12.75" customHeight="1" x14ac:dyDescent="0.2">
      <c r="A393" s="6" t="s">
        <v>2495</v>
      </c>
      <c r="B393" s="6">
        <v>97</v>
      </c>
      <c r="C393" s="6" t="s">
        <v>2129</v>
      </c>
      <c r="E393" s="6" t="s">
        <v>2130</v>
      </c>
      <c r="F393" s="86" t="s">
        <v>683</v>
      </c>
    </row>
    <row r="394" spans="1:6" ht="12.75" customHeight="1" x14ac:dyDescent="0.2">
      <c r="A394" s="6" t="s">
        <v>2495</v>
      </c>
      <c r="B394" s="6">
        <v>98</v>
      </c>
      <c r="C394" s="6" t="s">
        <v>2386</v>
      </c>
      <c r="E394" s="6" t="s">
        <v>2091</v>
      </c>
      <c r="F394" s="86" t="s">
        <v>683</v>
      </c>
    </row>
    <row r="395" spans="1:6" ht="12.75" customHeight="1" x14ac:dyDescent="0.2">
      <c r="A395" s="6" t="s">
        <v>2502</v>
      </c>
      <c r="B395" s="6">
        <v>1</v>
      </c>
      <c r="C395" s="6" t="s">
        <v>2503</v>
      </c>
      <c r="E395" s="6" t="s">
        <v>2504</v>
      </c>
      <c r="F395" s="86" t="s">
        <v>683</v>
      </c>
    </row>
    <row r="396" spans="1:6" ht="12.75" customHeight="1" x14ac:dyDescent="0.2">
      <c r="A396" s="6" t="s">
        <v>2502</v>
      </c>
      <c r="B396" s="6">
        <v>2</v>
      </c>
      <c r="C396" s="6" t="s">
        <v>2505</v>
      </c>
      <c r="E396" s="6" t="s">
        <v>2506</v>
      </c>
      <c r="F396" s="86" t="s">
        <v>683</v>
      </c>
    </row>
    <row r="397" spans="1:6" ht="12.75" customHeight="1" x14ac:dyDescent="0.2">
      <c r="A397" s="6" t="s">
        <v>2502</v>
      </c>
      <c r="B397" s="6">
        <v>3</v>
      </c>
      <c r="C397" s="6" t="s">
        <v>2507</v>
      </c>
      <c r="E397" s="6" t="s">
        <v>2508</v>
      </c>
      <c r="F397" s="86" t="s">
        <v>683</v>
      </c>
    </row>
    <row r="398" spans="1:6" ht="12.75" customHeight="1" x14ac:dyDescent="0.2">
      <c r="A398" s="6" t="s">
        <v>2502</v>
      </c>
      <c r="B398" s="6">
        <v>98</v>
      </c>
      <c r="C398" s="6" t="s">
        <v>2116</v>
      </c>
      <c r="E398" s="6" t="s">
        <v>2091</v>
      </c>
      <c r="F398" s="86" t="s">
        <v>683</v>
      </c>
    </row>
    <row r="399" spans="1:6" ht="12.75" customHeight="1" x14ac:dyDescent="0.2">
      <c r="A399" s="6" t="s">
        <v>1407</v>
      </c>
      <c r="B399" s="6">
        <v>1</v>
      </c>
      <c r="C399" s="6" t="s">
        <v>2509</v>
      </c>
      <c r="E399" s="6" t="s">
        <v>2509</v>
      </c>
      <c r="F399" s="86" t="s">
        <v>683</v>
      </c>
    </row>
    <row r="400" spans="1:6" ht="12.75" customHeight="1" x14ac:dyDescent="0.2">
      <c r="A400" s="6" t="s">
        <v>1407</v>
      </c>
      <c r="B400" s="6">
        <v>2</v>
      </c>
      <c r="C400" s="6" t="s">
        <v>2510</v>
      </c>
      <c r="E400" s="6" t="s">
        <v>2510</v>
      </c>
      <c r="F400" s="86" t="s">
        <v>683</v>
      </c>
    </row>
    <row r="401" spans="1:6" ht="12.75" customHeight="1" x14ac:dyDescent="0.2">
      <c r="A401" s="6" t="s">
        <v>1407</v>
      </c>
      <c r="B401" s="6">
        <v>3</v>
      </c>
      <c r="C401" s="6" t="s">
        <v>2511</v>
      </c>
      <c r="E401" s="6" t="s">
        <v>2511</v>
      </c>
      <c r="F401" s="86" t="s">
        <v>683</v>
      </c>
    </row>
    <row r="402" spans="1:6" ht="12.75" customHeight="1" x14ac:dyDescent="0.2">
      <c r="A402" s="6" t="s">
        <v>1407</v>
      </c>
      <c r="B402" s="6">
        <v>4</v>
      </c>
      <c r="C402" s="6" t="s">
        <v>2512</v>
      </c>
      <c r="E402" s="6" t="s">
        <v>2512</v>
      </c>
      <c r="F402" s="86" t="s">
        <v>683</v>
      </c>
    </row>
    <row r="403" spans="1:6" ht="12.75" customHeight="1" x14ac:dyDescent="0.2">
      <c r="A403" s="6" t="s">
        <v>1407</v>
      </c>
      <c r="B403" s="6">
        <v>5</v>
      </c>
      <c r="C403" s="6" t="s">
        <v>2513</v>
      </c>
      <c r="E403" s="6" t="s">
        <v>2513</v>
      </c>
      <c r="F403" s="86" t="s">
        <v>683</v>
      </c>
    </row>
    <row r="404" spans="1:6" ht="12.75" customHeight="1" x14ac:dyDescent="0.2">
      <c r="A404" s="6" t="s">
        <v>1407</v>
      </c>
      <c r="B404" s="6">
        <v>6</v>
      </c>
      <c r="C404" s="6" t="s">
        <v>2514</v>
      </c>
      <c r="E404" s="6" t="s">
        <v>2514</v>
      </c>
      <c r="F404" s="86" t="s">
        <v>683</v>
      </c>
    </row>
    <row r="405" spans="1:6" ht="12.75" customHeight="1" x14ac:dyDescent="0.2">
      <c r="A405" s="6" t="s">
        <v>1407</v>
      </c>
      <c r="B405" s="6">
        <v>7</v>
      </c>
      <c r="C405" s="6" t="s">
        <v>2515</v>
      </c>
      <c r="E405" s="6" t="s">
        <v>2516</v>
      </c>
      <c r="F405" s="86" t="s">
        <v>683</v>
      </c>
    </row>
    <row r="406" spans="1:6" ht="12.75" customHeight="1" x14ac:dyDescent="0.2">
      <c r="A406" s="6" t="s">
        <v>1407</v>
      </c>
      <c r="B406" s="6">
        <v>96</v>
      </c>
      <c r="C406" s="6" t="s">
        <v>730</v>
      </c>
      <c r="E406" s="6" t="s">
        <v>2020</v>
      </c>
      <c r="F406" s="86" t="s">
        <v>683</v>
      </c>
    </row>
    <row r="407" spans="1:6" ht="12.75" customHeight="1" x14ac:dyDescent="0.2">
      <c r="A407" s="6" t="s">
        <v>2517</v>
      </c>
      <c r="B407" s="6">
        <v>1</v>
      </c>
      <c r="C407" s="6" t="s">
        <v>2518</v>
      </c>
      <c r="E407" s="6" t="s">
        <v>2519</v>
      </c>
      <c r="F407" s="86" t="s">
        <v>683</v>
      </c>
    </row>
    <row r="408" spans="1:6" ht="12.75" customHeight="1" x14ac:dyDescent="0.2">
      <c r="A408" s="6" t="s">
        <v>2517</v>
      </c>
      <c r="B408" s="6">
        <v>2</v>
      </c>
      <c r="C408" s="6" t="s">
        <v>2520</v>
      </c>
      <c r="E408" s="6" t="s">
        <v>2521</v>
      </c>
      <c r="F408" s="86" t="s">
        <v>683</v>
      </c>
    </row>
    <row r="409" spans="1:6" ht="12.75" customHeight="1" x14ac:dyDescent="0.2">
      <c r="A409" s="6" t="s">
        <v>2517</v>
      </c>
      <c r="B409" s="6">
        <v>96</v>
      </c>
      <c r="C409" s="6" t="s">
        <v>730</v>
      </c>
      <c r="E409" s="6" t="s">
        <v>2020</v>
      </c>
      <c r="F409" s="86" t="s">
        <v>683</v>
      </c>
    </row>
    <row r="410" spans="1:6" ht="12.75" customHeight="1" x14ac:dyDescent="0.2">
      <c r="A410" s="6" t="s">
        <v>2522</v>
      </c>
      <c r="B410" s="6">
        <v>1</v>
      </c>
      <c r="C410" s="6" t="s">
        <v>2523</v>
      </c>
      <c r="E410" s="6" t="s">
        <v>2524</v>
      </c>
      <c r="F410" s="86" t="s">
        <v>683</v>
      </c>
    </row>
    <row r="411" spans="1:6" ht="12.75" customHeight="1" x14ac:dyDescent="0.2">
      <c r="A411" s="6" t="s">
        <v>2522</v>
      </c>
      <c r="B411" s="6">
        <v>2</v>
      </c>
      <c r="C411" s="6" t="s">
        <v>2525</v>
      </c>
      <c r="E411" s="6" t="s">
        <v>2526</v>
      </c>
      <c r="F411" s="86" t="s">
        <v>683</v>
      </c>
    </row>
    <row r="412" spans="1:6" ht="12.75" customHeight="1" x14ac:dyDescent="0.2">
      <c r="A412" s="6" t="s">
        <v>2522</v>
      </c>
      <c r="B412" s="6">
        <v>3</v>
      </c>
      <c r="C412" s="6" t="s">
        <v>2527</v>
      </c>
      <c r="E412" s="6" t="s">
        <v>2528</v>
      </c>
      <c r="F412" s="86" t="s">
        <v>683</v>
      </c>
    </row>
    <row r="413" spans="1:6" ht="12.75" customHeight="1" x14ac:dyDescent="0.2">
      <c r="A413" s="6" t="s">
        <v>2522</v>
      </c>
      <c r="B413" s="6">
        <v>4</v>
      </c>
      <c r="C413" s="6" t="s">
        <v>2529</v>
      </c>
      <c r="E413" s="6" t="s">
        <v>2530</v>
      </c>
      <c r="F413" s="86" t="s">
        <v>683</v>
      </c>
    </row>
    <row r="414" spans="1:6" ht="12.75" customHeight="1" x14ac:dyDescent="0.2">
      <c r="A414" s="6" t="s">
        <v>2522</v>
      </c>
      <c r="B414" s="6">
        <v>5</v>
      </c>
      <c r="C414" s="6" t="s">
        <v>2531</v>
      </c>
      <c r="E414" s="6" t="s">
        <v>2532</v>
      </c>
      <c r="F414" s="86" t="s">
        <v>683</v>
      </c>
    </row>
    <row r="415" spans="1:6" ht="12.75" customHeight="1" x14ac:dyDescent="0.2">
      <c r="A415" s="6" t="s">
        <v>2522</v>
      </c>
      <c r="B415" s="6">
        <v>6</v>
      </c>
      <c r="C415" s="6" t="s">
        <v>2533</v>
      </c>
      <c r="E415" s="6" t="s">
        <v>2534</v>
      </c>
      <c r="F415" s="86" t="s">
        <v>683</v>
      </c>
    </row>
    <row r="416" spans="1:6" ht="12.75" customHeight="1" x14ac:dyDescent="0.2">
      <c r="A416" s="6" t="s">
        <v>2522</v>
      </c>
      <c r="B416" s="6">
        <v>7</v>
      </c>
      <c r="C416" s="6" t="s">
        <v>2535</v>
      </c>
      <c r="E416" s="6" t="s">
        <v>2536</v>
      </c>
      <c r="F416" s="86" t="s">
        <v>683</v>
      </c>
    </row>
    <row r="417" spans="1:26" ht="12.75" customHeight="1" x14ac:dyDescent="0.2">
      <c r="A417" s="6" t="s">
        <v>2522</v>
      </c>
      <c r="B417" s="6">
        <v>98</v>
      </c>
      <c r="C417" s="6" t="s">
        <v>2116</v>
      </c>
      <c r="E417" s="6" t="s">
        <v>2091</v>
      </c>
      <c r="F417" s="86" t="s">
        <v>683</v>
      </c>
    </row>
    <row r="418" spans="1:26" ht="12.75" customHeight="1" x14ac:dyDescent="0.2">
      <c r="A418" s="6" t="s">
        <v>2537</v>
      </c>
      <c r="B418" s="6">
        <v>1</v>
      </c>
      <c r="C418" s="6" t="s">
        <v>2315</v>
      </c>
      <c r="E418" s="6" t="s">
        <v>2316</v>
      </c>
      <c r="F418" s="86" t="s">
        <v>683</v>
      </c>
    </row>
    <row r="419" spans="1:26" ht="12.75" customHeight="1" x14ac:dyDescent="0.2">
      <c r="A419" s="6" t="s">
        <v>2537</v>
      </c>
      <c r="B419" s="6">
        <v>0</v>
      </c>
      <c r="C419" s="6" t="s">
        <v>1486</v>
      </c>
      <c r="E419" s="6" t="s">
        <v>2442</v>
      </c>
      <c r="F419" s="86" t="s">
        <v>683</v>
      </c>
    </row>
    <row r="420" spans="1:26" ht="12.75" customHeight="1" x14ac:dyDescent="0.2">
      <c r="A420" s="6" t="s">
        <v>2537</v>
      </c>
      <c r="B420" s="6">
        <v>98</v>
      </c>
      <c r="C420" s="6" t="s">
        <v>2116</v>
      </c>
      <c r="E420" s="6" t="s">
        <v>2091</v>
      </c>
      <c r="F420" s="86" t="s">
        <v>683</v>
      </c>
    </row>
    <row r="421" spans="1:26" ht="12.75" customHeight="1" x14ac:dyDescent="0.2">
      <c r="A421" s="6" t="s">
        <v>2538</v>
      </c>
      <c r="B421" s="6">
        <v>1</v>
      </c>
      <c r="C421" s="6" t="s">
        <v>2315</v>
      </c>
      <c r="E421" s="6" t="s">
        <v>2316</v>
      </c>
      <c r="F421" s="86" t="s">
        <v>683</v>
      </c>
    </row>
    <row r="422" spans="1:26" ht="12.75" customHeight="1" x14ac:dyDescent="0.2">
      <c r="A422" s="6" t="s">
        <v>2538</v>
      </c>
      <c r="B422" s="6">
        <v>0</v>
      </c>
      <c r="C422" s="6" t="s">
        <v>1486</v>
      </c>
      <c r="E422" s="6" t="s">
        <v>2442</v>
      </c>
      <c r="F422" s="86" t="s">
        <v>683</v>
      </c>
    </row>
    <row r="423" spans="1:26" ht="12.75" customHeight="1" x14ac:dyDescent="0.2">
      <c r="A423" s="6" t="s">
        <v>2538</v>
      </c>
      <c r="B423" s="6">
        <v>98</v>
      </c>
      <c r="C423" s="6" t="s">
        <v>2116</v>
      </c>
      <c r="E423" s="6" t="s">
        <v>2091</v>
      </c>
      <c r="F423" s="86" t="s">
        <v>683</v>
      </c>
    </row>
    <row r="424" spans="1:26" ht="12.75" customHeight="1" x14ac:dyDescent="0.2">
      <c r="A424" s="6" t="s">
        <v>2538</v>
      </c>
      <c r="B424" s="6">
        <v>97</v>
      </c>
      <c r="C424" s="6" t="s">
        <v>2341</v>
      </c>
      <c r="E424" s="6" t="s">
        <v>2342</v>
      </c>
      <c r="F424" s="86" t="s">
        <v>683</v>
      </c>
      <c r="G424" s="87"/>
      <c r="H424" s="87"/>
      <c r="I424" s="87"/>
      <c r="J424" s="87"/>
      <c r="K424" s="87"/>
      <c r="L424" s="87"/>
      <c r="M424" s="87"/>
      <c r="N424" s="87"/>
      <c r="O424" s="87"/>
      <c r="P424" s="87"/>
      <c r="Q424" s="87"/>
      <c r="R424" s="87"/>
      <c r="S424" s="87"/>
      <c r="T424" s="87"/>
      <c r="U424" s="87"/>
      <c r="V424" s="87"/>
      <c r="W424" s="87"/>
      <c r="X424" s="87"/>
      <c r="Y424" s="87"/>
      <c r="Z424" s="87"/>
    </row>
    <row r="425" spans="1:26" ht="12.75" customHeight="1" x14ac:dyDescent="0.2">
      <c r="F425" s="84"/>
    </row>
    <row r="426" spans="1:26" ht="12.75" customHeight="1" x14ac:dyDescent="0.2">
      <c r="F426" s="84"/>
    </row>
    <row r="427" spans="1:26" ht="12.75" customHeight="1" x14ac:dyDescent="0.2">
      <c r="F427" s="84"/>
    </row>
    <row r="428" spans="1:26" ht="12.75" customHeight="1" x14ac:dyDescent="0.2">
      <c r="F428" s="84"/>
    </row>
    <row r="429" spans="1:26" ht="12.75" customHeight="1" x14ac:dyDescent="0.2">
      <c r="F429" s="84"/>
    </row>
    <row r="430" spans="1:26" ht="12.75" customHeight="1" x14ac:dyDescent="0.2">
      <c r="F430" s="84"/>
    </row>
    <row r="431" spans="1:26" ht="12.75" customHeight="1" x14ac:dyDescent="0.2">
      <c r="F431" s="84"/>
    </row>
    <row r="432" spans="1:26" ht="12.75" customHeight="1" x14ac:dyDescent="0.2">
      <c r="F432" s="84"/>
    </row>
    <row r="433" spans="6:6" ht="12.75" customHeight="1" x14ac:dyDescent="0.2">
      <c r="F433" s="84"/>
    </row>
    <row r="434" spans="6:6" ht="12.75" customHeight="1" x14ac:dyDescent="0.2">
      <c r="F434" s="84"/>
    </row>
    <row r="435" spans="6:6" ht="12.75" customHeight="1" x14ac:dyDescent="0.2">
      <c r="F435" s="84"/>
    </row>
    <row r="436" spans="6:6" ht="12.75" customHeight="1" x14ac:dyDescent="0.2">
      <c r="F436" s="84"/>
    </row>
    <row r="437" spans="6:6" ht="12.75" customHeight="1" x14ac:dyDescent="0.2">
      <c r="F437" s="84"/>
    </row>
    <row r="438" spans="6:6" ht="12.75" customHeight="1" x14ac:dyDescent="0.2">
      <c r="F438" s="84"/>
    </row>
    <row r="439" spans="6:6" ht="12.75" customHeight="1" x14ac:dyDescent="0.2">
      <c r="F439" s="84"/>
    </row>
    <row r="440" spans="6:6" ht="12.75" customHeight="1" x14ac:dyDescent="0.2">
      <c r="F440" s="84"/>
    </row>
    <row r="441" spans="6:6" ht="12.75" customHeight="1" x14ac:dyDescent="0.2">
      <c r="F441" s="84"/>
    </row>
    <row r="442" spans="6:6" ht="12.75" customHeight="1" x14ac:dyDescent="0.2">
      <c r="F442" s="84"/>
    </row>
    <row r="443" spans="6:6" ht="12.75" customHeight="1" x14ac:dyDescent="0.2">
      <c r="F443" s="84"/>
    </row>
    <row r="444" spans="6:6" ht="12.75" customHeight="1" x14ac:dyDescent="0.2">
      <c r="F444" s="84"/>
    </row>
    <row r="445" spans="6:6" ht="12.75" customHeight="1" x14ac:dyDescent="0.2">
      <c r="F445" s="84"/>
    </row>
    <row r="446" spans="6:6" ht="12.75" customHeight="1" x14ac:dyDescent="0.2">
      <c r="F446" s="84"/>
    </row>
    <row r="447" spans="6:6" ht="12.75" customHeight="1" x14ac:dyDescent="0.2">
      <c r="F447" s="84"/>
    </row>
    <row r="448" spans="6:6" ht="12.75" customHeight="1" x14ac:dyDescent="0.2">
      <c r="F448" s="84"/>
    </row>
    <row r="449" spans="6:6" ht="12.75" customHeight="1" x14ac:dyDescent="0.2">
      <c r="F449" s="84"/>
    </row>
    <row r="450" spans="6:6" ht="12.75" customHeight="1" x14ac:dyDescent="0.2">
      <c r="F450" s="84"/>
    </row>
    <row r="451" spans="6:6" ht="12.75" customHeight="1" x14ac:dyDescent="0.2">
      <c r="F451" s="84"/>
    </row>
    <row r="452" spans="6:6" ht="12.75" customHeight="1" x14ac:dyDescent="0.2">
      <c r="F452" s="84"/>
    </row>
    <row r="453" spans="6:6" ht="12.75" customHeight="1" x14ac:dyDescent="0.2">
      <c r="F453" s="84"/>
    </row>
    <row r="454" spans="6:6" ht="12.75" customHeight="1" x14ac:dyDescent="0.2">
      <c r="F454" s="84"/>
    </row>
    <row r="455" spans="6:6" ht="12.75" customHeight="1" x14ac:dyDescent="0.2">
      <c r="F455" s="84"/>
    </row>
    <row r="456" spans="6:6" ht="12.75" customHeight="1" x14ac:dyDescent="0.2">
      <c r="F456" s="84"/>
    </row>
    <row r="457" spans="6:6" ht="12.75" customHeight="1" x14ac:dyDescent="0.2">
      <c r="F457" s="84"/>
    </row>
    <row r="458" spans="6:6" ht="12.75" customHeight="1" x14ac:dyDescent="0.2">
      <c r="F458" s="84"/>
    </row>
    <row r="459" spans="6:6" ht="12.75" customHeight="1" x14ac:dyDescent="0.2">
      <c r="F459" s="84"/>
    </row>
    <row r="460" spans="6:6" ht="12.75" customHeight="1" x14ac:dyDescent="0.2">
      <c r="F460" s="84"/>
    </row>
    <row r="461" spans="6:6" ht="12.75" customHeight="1" x14ac:dyDescent="0.2">
      <c r="F461" s="84"/>
    </row>
    <row r="462" spans="6:6" ht="12.75" customHeight="1" x14ac:dyDescent="0.2">
      <c r="F462" s="84"/>
    </row>
    <row r="463" spans="6:6" ht="12.75" customHeight="1" x14ac:dyDescent="0.2">
      <c r="F463" s="84"/>
    </row>
    <row r="464" spans="6:6" ht="12.75" customHeight="1" x14ac:dyDescent="0.2">
      <c r="F464" s="84"/>
    </row>
    <row r="465" spans="6:6" ht="12.75" customHeight="1" x14ac:dyDescent="0.2">
      <c r="F465" s="84"/>
    </row>
    <row r="466" spans="6:6" ht="12.75" customHeight="1" x14ac:dyDescent="0.2">
      <c r="F466" s="84"/>
    </row>
    <row r="467" spans="6:6" ht="12.75" customHeight="1" x14ac:dyDescent="0.2">
      <c r="F467" s="84"/>
    </row>
    <row r="468" spans="6:6" ht="12.75" customHeight="1" x14ac:dyDescent="0.2">
      <c r="F468" s="84"/>
    </row>
    <row r="469" spans="6:6" ht="12.75" customHeight="1" x14ac:dyDescent="0.2">
      <c r="F469" s="84"/>
    </row>
    <row r="470" spans="6:6" ht="12.75" customHeight="1" x14ac:dyDescent="0.2">
      <c r="F470" s="84"/>
    </row>
    <row r="471" spans="6:6" ht="12.75" customHeight="1" x14ac:dyDescent="0.2">
      <c r="F471" s="84"/>
    </row>
    <row r="472" spans="6:6" ht="12.75" customHeight="1" x14ac:dyDescent="0.2">
      <c r="F472" s="84"/>
    </row>
    <row r="473" spans="6:6" ht="12.75" customHeight="1" x14ac:dyDescent="0.2">
      <c r="F473" s="84"/>
    </row>
    <row r="474" spans="6:6" ht="12.75" customHeight="1" x14ac:dyDescent="0.2">
      <c r="F474" s="84"/>
    </row>
    <row r="475" spans="6:6" ht="12.75" customHeight="1" x14ac:dyDescent="0.2">
      <c r="F475" s="84"/>
    </row>
    <row r="476" spans="6:6" ht="12.75" customHeight="1" x14ac:dyDescent="0.2">
      <c r="F476" s="84"/>
    </row>
    <row r="477" spans="6:6" ht="12.75" customHeight="1" x14ac:dyDescent="0.2">
      <c r="F477" s="84"/>
    </row>
    <row r="478" spans="6:6" ht="12.75" customHeight="1" x14ac:dyDescent="0.2">
      <c r="F478" s="84"/>
    </row>
    <row r="479" spans="6:6" ht="12.75" customHeight="1" x14ac:dyDescent="0.2">
      <c r="F479" s="84"/>
    </row>
    <row r="480" spans="6:6" ht="12.75" customHeight="1" x14ac:dyDescent="0.2">
      <c r="F480" s="84"/>
    </row>
    <row r="481" spans="6:6" ht="12.75" customHeight="1" x14ac:dyDescent="0.2">
      <c r="F481" s="84"/>
    </row>
    <row r="482" spans="6:6" ht="12.75" customHeight="1" x14ac:dyDescent="0.2">
      <c r="F482" s="84"/>
    </row>
    <row r="483" spans="6:6" ht="12.75" customHeight="1" x14ac:dyDescent="0.2">
      <c r="F483" s="84"/>
    </row>
    <row r="484" spans="6:6" ht="12.75" customHeight="1" x14ac:dyDescent="0.2">
      <c r="F484" s="84"/>
    </row>
    <row r="485" spans="6:6" ht="12.75" customHeight="1" x14ac:dyDescent="0.2">
      <c r="F485" s="84"/>
    </row>
    <row r="486" spans="6:6" ht="12.75" customHeight="1" x14ac:dyDescent="0.2">
      <c r="F486" s="84"/>
    </row>
    <row r="487" spans="6:6" ht="12.75" customHeight="1" x14ac:dyDescent="0.2">
      <c r="F487" s="84"/>
    </row>
    <row r="488" spans="6:6" ht="12.75" customHeight="1" x14ac:dyDescent="0.2">
      <c r="F488" s="84"/>
    </row>
    <row r="489" spans="6:6" ht="12.75" customHeight="1" x14ac:dyDescent="0.2">
      <c r="F489" s="84"/>
    </row>
    <row r="490" spans="6:6" ht="12.75" customHeight="1" x14ac:dyDescent="0.2">
      <c r="F490" s="84"/>
    </row>
    <row r="491" spans="6:6" ht="12.75" customHeight="1" x14ac:dyDescent="0.2">
      <c r="F491" s="84"/>
    </row>
    <row r="492" spans="6:6" ht="12.75" customHeight="1" x14ac:dyDescent="0.2">
      <c r="F492" s="84"/>
    </row>
    <row r="493" spans="6:6" ht="12.75" customHeight="1" x14ac:dyDescent="0.2">
      <c r="F493" s="84"/>
    </row>
    <row r="494" spans="6:6" ht="12.75" customHeight="1" x14ac:dyDescent="0.2">
      <c r="F494" s="84"/>
    </row>
    <row r="495" spans="6:6" ht="12.75" customHeight="1" x14ac:dyDescent="0.2">
      <c r="F495" s="84"/>
    </row>
    <row r="496" spans="6:6" ht="12.75" customHeight="1" x14ac:dyDescent="0.2">
      <c r="F496" s="84"/>
    </row>
    <row r="497" spans="6:6" ht="12.75" customHeight="1" x14ac:dyDescent="0.2">
      <c r="F497" s="84"/>
    </row>
    <row r="498" spans="6:6" ht="12.75" customHeight="1" x14ac:dyDescent="0.2">
      <c r="F498" s="84"/>
    </row>
    <row r="499" spans="6:6" ht="12.75" customHeight="1" x14ac:dyDescent="0.2">
      <c r="F499" s="84"/>
    </row>
    <row r="500" spans="6:6" ht="12.75" customHeight="1" x14ac:dyDescent="0.2">
      <c r="F500" s="84"/>
    </row>
    <row r="501" spans="6:6" ht="12.75" customHeight="1" x14ac:dyDescent="0.2">
      <c r="F501" s="84"/>
    </row>
    <row r="502" spans="6:6" ht="12.75" customHeight="1" x14ac:dyDescent="0.2">
      <c r="F502" s="84"/>
    </row>
    <row r="503" spans="6:6" ht="12.75" customHeight="1" x14ac:dyDescent="0.2">
      <c r="F503" s="84"/>
    </row>
    <row r="504" spans="6:6" ht="12.75" customHeight="1" x14ac:dyDescent="0.2">
      <c r="F504" s="84"/>
    </row>
    <row r="505" spans="6:6" ht="12.75" customHeight="1" x14ac:dyDescent="0.2">
      <c r="F505" s="84"/>
    </row>
    <row r="506" spans="6:6" ht="12.75" customHeight="1" x14ac:dyDescent="0.2">
      <c r="F506" s="84"/>
    </row>
    <row r="507" spans="6:6" ht="12.75" customHeight="1" x14ac:dyDescent="0.2">
      <c r="F507" s="84"/>
    </row>
    <row r="508" spans="6:6" ht="12.75" customHeight="1" x14ac:dyDescent="0.2">
      <c r="F508" s="84"/>
    </row>
    <row r="509" spans="6:6" ht="12.75" customHeight="1" x14ac:dyDescent="0.2">
      <c r="F509" s="84"/>
    </row>
    <row r="510" spans="6:6" ht="12.75" customHeight="1" x14ac:dyDescent="0.2">
      <c r="F510" s="84"/>
    </row>
    <row r="511" spans="6:6" ht="12.75" customHeight="1" x14ac:dyDescent="0.2">
      <c r="F511" s="84"/>
    </row>
    <row r="512" spans="6:6" ht="12.75" customHeight="1" x14ac:dyDescent="0.2">
      <c r="F512" s="84"/>
    </row>
    <row r="513" spans="6:6" ht="12.75" customHeight="1" x14ac:dyDescent="0.2">
      <c r="F513" s="84"/>
    </row>
    <row r="514" spans="6:6" ht="12.75" customHeight="1" x14ac:dyDescent="0.2">
      <c r="F514" s="84"/>
    </row>
    <row r="515" spans="6:6" ht="12.75" customHeight="1" x14ac:dyDescent="0.2">
      <c r="F515" s="84"/>
    </row>
    <row r="516" spans="6:6" ht="12.75" customHeight="1" x14ac:dyDescent="0.2">
      <c r="F516" s="84"/>
    </row>
    <row r="517" spans="6:6" ht="12.75" customHeight="1" x14ac:dyDescent="0.2">
      <c r="F517" s="84"/>
    </row>
    <row r="518" spans="6:6" ht="12.75" customHeight="1" x14ac:dyDescent="0.2">
      <c r="F518" s="84"/>
    </row>
    <row r="519" spans="6:6" ht="12.75" customHeight="1" x14ac:dyDescent="0.2">
      <c r="F519" s="84"/>
    </row>
    <row r="520" spans="6:6" ht="12.75" customHeight="1" x14ac:dyDescent="0.2">
      <c r="F520" s="84"/>
    </row>
    <row r="521" spans="6:6" ht="12.75" customHeight="1" x14ac:dyDescent="0.2">
      <c r="F521" s="84"/>
    </row>
    <row r="522" spans="6:6" ht="12.75" customHeight="1" x14ac:dyDescent="0.2">
      <c r="F522" s="84"/>
    </row>
    <row r="523" spans="6:6" ht="12.75" customHeight="1" x14ac:dyDescent="0.2">
      <c r="F523" s="84"/>
    </row>
    <row r="524" spans="6:6" ht="12.75" customHeight="1" x14ac:dyDescent="0.2">
      <c r="F524" s="84"/>
    </row>
    <row r="525" spans="6:6" ht="12.75" customHeight="1" x14ac:dyDescent="0.2">
      <c r="F525" s="84"/>
    </row>
    <row r="526" spans="6:6" ht="12.75" customHeight="1" x14ac:dyDescent="0.2">
      <c r="F526" s="84"/>
    </row>
    <row r="527" spans="6:6" ht="12.75" customHeight="1" x14ac:dyDescent="0.2">
      <c r="F527" s="84"/>
    </row>
    <row r="528" spans="6:6" ht="12.75" customHeight="1" x14ac:dyDescent="0.2">
      <c r="F528" s="84"/>
    </row>
    <row r="529" spans="6:6" ht="12.75" customHeight="1" x14ac:dyDescent="0.2">
      <c r="F529" s="84"/>
    </row>
    <row r="530" spans="6:6" ht="12.75" customHeight="1" x14ac:dyDescent="0.2">
      <c r="F530" s="84"/>
    </row>
    <row r="531" spans="6:6" ht="12.75" customHeight="1" x14ac:dyDescent="0.2">
      <c r="F531" s="84"/>
    </row>
    <row r="532" spans="6:6" ht="12.75" customHeight="1" x14ac:dyDescent="0.2">
      <c r="F532" s="84"/>
    </row>
    <row r="533" spans="6:6" ht="12.75" customHeight="1" x14ac:dyDescent="0.2">
      <c r="F533" s="84"/>
    </row>
    <row r="534" spans="6:6" ht="12.75" customHeight="1" x14ac:dyDescent="0.2">
      <c r="F534" s="84"/>
    </row>
    <row r="535" spans="6:6" ht="12.75" customHeight="1" x14ac:dyDescent="0.2">
      <c r="F535" s="84"/>
    </row>
    <row r="536" spans="6:6" ht="12.75" customHeight="1" x14ac:dyDescent="0.2">
      <c r="F536" s="84"/>
    </row>
    <row r="537" spans="6:6" ht="12.75" customHeight="1" x14ac:dyDescent="0.2">
      <c r="F537" s="84"/>
    </row>
    <row r="538" spans="6:6" ht="12.75" customHeight="1" x14ac:dyDescent="0.2">
      <c r="F538" s="84"/>
    </row>
    <row r="539" spans="6:6" ht="12.75" customHeight="1" x14ac:dyDescent="0.2">
      <c r="F539" s="84"/>
    </row>
    <row r="540" spans="6:6" ht="12.75" customHeight="1" x14ac:dyDescent="0.2">
      <c r="F540" s="84"/>
    </row>
    <row r="541" spans="6:6" ht="12.75" customHeight="1" x14ac:dyDescent="0.2">
      <c r="F541" s="84"/>
    </row>
    <row r="542" spans="6:6" ht="12.75" customHeight="1" x14ac:dyDescent="0.2">
      <c r="F542" s="84"/>
    </row>
    <row r="543" spans="6:6" ht="12.75" customHeight="1" x14ac:dyDescent="0.2">
      <c r="F543" s="84"/>
    </row>
    <row r="544" spans="6:6" ht="12.75" customHeight="1" x14ac:dyDescent="0.2">
      <c r="F544" s="84"/>
    </row>
    <row r="545" spans="6:6" ht="12.75" customHeight="1" x14ac:dyDescent="0.2">
      <c r="F545" s="84"/>
    </row>
    <row r="546" spans="6:6" ht="12.75" customHeight="1" x14ac:dyDescent="0.2">
      <c r="F546" s="84"/>
    </row>
    <row r="547" spans="6:6" ht="12.75" customHeight="1" x14ac:dyDescent="0.2">
      <c r="F547" s="84"/>
    </row>
    <row r="548" spans="6:6" ht="12.75" customHeight="1" x14ac:dyDescent="0.2">
      <c r="F548" s="84"/>
    </row>
    <row r="549" spans="6:6" ht="12.75" customHeight="1" x14ac:dyDescent="0.2">
      <c r="F549" s="84"/>
    </row>
    <row r="550" spans="6:6" ht="12.75" customHeight="1" x14ac:dyDescent="0.2">
      <c r="F550" s="84"/>
    </row>
    <row r="551" spans="6:6" ht="12.75" customHeight="1" x14ac:dyDescent="0.2">
      <c r="F551" s="84"/>
    </row>
    <row r="552" spans="6:6" ht="12.75" customHeight="1" x14ac:dyDescent="0.2">
      <c r="F552" s="84"/>
    </row>
    <row r="553" spans="6:6" ht="12.75" customHeight="1" x14ac:dyDescent="0.2">
      <c r="F553" s="84"/>
    </row>
    <row r="554" spans="6:6" ht="12.75" customHeight="1" x14ac:dyDescent="0.2">
      <c r="F554" s="84"/>
    </row>
    <row r="555" spans="6:6" ht="12.75" customHeight="1" x14ac:dyDescent="0.2">
      <c r="F555" s="84"/>
    </row>
    <row r="556" spans="6:6" ht="12.75" customHeight="1" x14ac:dyDescent="0.2">
      <c r="F556" s="84"/>
    </row>
    <row r="557" spans="6:6" ht="12.75" customHeight="1" x14ac:dyDescent="0.2">
      <c r="F557" s="84"/>
    </row>
    <row r="558" spans="6:6" ht="12.75" customHeight="1" x14ac:dyDescent="0.2">
      <c r="F558" s="84"/>
    </row>
    <row r="559" spans="6:6" ht="12.75" customHeight="1" x14ac:dyDescent="0.2">
      <c r="F559" s="84"/>
    </row>
    <row r="560" spans="6:6" ht="12.75" customHeight="1" x14ac:dyDescent="0.2">
      <c r="F560" s="84"/>
    </row>
    <row r="561" spans="6:6" ht="12.75" customHeight="1" x14ac:dyDescent="0.2">
      <c r="F561" s="84"/>
    </row>
    <row r="562" spans="6:6" ht="12.75" customHeight="1" x14ac:dyDescent="0.2">
      <c r="F562" s="84"/>
    </row>
    <row r="563" spans="6:6" ht="12.75" customHeight="1" x14ac:dyDescent="0.2">
      <c r="F563" s="84"/>
    </row>
    <row r="564" spans="6:6" ht="12.75" customHeight="1" x14ac:dyDescent="0.2">
      <c r="F564" s="84"/>
    </row>
    <row r="565" spans="6:6" ht="12.75" customHeight="1" x14ac:dyDescent="0.2">
      <c r="F565" s="84"/>
    </row>
    <row r="566" spans="6:6" ht="12.75" customHeight="1" x14ac:dyDescent="0.2">
      <c r="F566" s="84"/>
    </row>
    <row r="567" spans="6:6" ht="12.75" customHeight="1" x14ac:dyDescent="0.2">
      <c r="F567" s="84"/>
    </row>
    <row r="568" spans="6:6" ht="12.75" customHeight="1" x14ac:dyDescent="0.2">
      <c r="F568" s="84"/>
    </row>
    <row r="569" spans="6:6" ht="12.75" customHeight="1" x14ac:dyDescent="0.2">
      <c r="F569" s="84"/>
    </row>
    <row r="570" spans="6:6" ht="12.75" customHeight="1" x14ac:dyDescent="0.2">
      <c r="F570" s="84"/>
    </row>
    <row r="571" spans="6:6" ht="12.75" customHeight="1" x14ac:dyDescent="0.2">
      <c r="F571" s="84"/>
    </row>
    <row r="572" spans="6:6" ht="12.75" customHeight="1" x14ac:dyDescent="0.2">
      <c r="F572" s="84"/>
    </row>
    <row r="573" spans="6:6" ht="12.75" customHeight="1" x14ac:dyDescent="0.2">
      <c r="F573" s="84"/>
    </row>
    <row r="574" spans="6:6" ht="12.75" customHeight="1" x14ac:dyDescent="0.2">
      <c r="F574" s="84"/>
    </row>
    <row r="575" spans="6:6" ht="12.75" customHeight="1" x14ac:dyDescent="0.2">
      <c r="F575" s="84"/>
    </row>
    <row r="576" spans="6:6" ht="12.75" customHeight="1" x14ac:dyDescent="0.2">
      <c r="F576" s="84"/>
    </row>
    <row r="577" spans="6:6" ht="12.75" customHeight="1" x14ac:dyDescent="0.2">
      <c r="F577" s="84"/>
    </row>
    <row r="578" spans="6:6" ht="12.75" customHeight="1" x14ac:dyDescent="0.2">
      <c r="F578" s="84"/>
    </row>
    <row r="579" spans="6:6" ht="12.75" customHeight="1" x14ac:dyDescent="0.2">
      <c r="F579" s="84"/>
    </row>
    <row r="580" spans="6:6" ht="12.75" customHeight="1" x14ac:dyDescent="0.2">
      <c r="F580" s="84"/>
    </row>
    <row r="581" spans="6:6" ht="12.75" customHeight="1" x14ac:dyDescent="0.2">
      <c r="F581" s="84"/>
    </row>
    <row r="582" spans="6:6" ht="12.75" customHeight="1" x14ac:dyDescent="0.2">
      <c r="F582" s="84"/>
    </row>
    <row r="583" spans="6:6" ht="12.75" customHeight="1" x14ac:dyDescent="0.2">
      <c r="F583" s="84"/>
    </row>
    <row r="584" spans="6:6" ht="12.75" customHeight="1" x14ac:dyDescent="0.2">
      <c r="F584" s="84"/>
    </row>
    <row r="585" spans="6:6" ht="12.75" customHeight="1" x14ac:dyDescent="0.2">
      <c r="F585" s="84"/>
    </row>
    <row r="586" spans="6:6" ht="12.75" customHeight="1" x14ac:dyDescent="0.2">
      <c r="F586" s="84"/>
    </row>
    <row r="587" spans="6:6" ht="12.75" customHeight="1" x14ac:dyDescent="0.2">
      <c r="F587" s="84"/>
    </row>
    <row r="588" spans="6:6" ht="12.75" customHeight="1" x14ac:dyDescent="0.2">
      <c r="F588" s="84"/>
    </row>
    <row r="589" spans="6:6" ht="12.75" customHeight="1" x14ac:dyDescent="0.2">
      <c r="F589" s="84"/>
    </row>
    <row r="590" spans="6:6" ht="12.75" customHeight="1" x14ac:dyDescent="0.2">
      <c r="F590" s="84"/>
    </row>
    <row r="591" spans="6:6" ht="12.75" customHeight="1" x14ac:dyDescent="0.2">
      <c r="F591" s="84"/>
    </row>
    <row r="592" spans="6:6" ht="12.75" customHeight="1" x14ac:dyDescent="0.2">
      <c r="F592" s="84"/>
    </row>
    <row r="593" spans="6:6" ht="12.75" customHeight="1" x14ac:dyDescent="0.2">
      <c r="F593" s="84"/>
    </row>
    <row r="594" spans="6:6" ht="12.75" customHeight="1" x14ac:dyDescent="0.2">
      <c r="F594" s="84"/>
    </row>
    <row r="595" spans="6:6" ht="12.75" customHeight="1" x14ac:dyDescent="0.2">
      <c r="F595" s="84"/>
    </row>
    <row r="596" spans="6:6" ht="12.75" customHeight="1" x14ac:dyDescent="0.2">
      <c r="F596" s="84"/>
    </row>
    <row r="597" spans="6:6" ht="12.75" customHeight="1" x14ac:dyDescent="0.2">
      <c r="F597" s="84"/>
    </row>
    <row r="598" spans="6:6" ht="12.75" customHeight="1" x14ac:dyDescent="0.2">
      <c r="F598" s="84"/>
    </row>
    <row r="599" spans="6:6" ht="12.75" customHeight="1" x14ac:dyDescent="0.2">
      <c r="F599" s="84"/>
    </row>
    <row r="600" spans="6:6" ht="12.75" customHeight="1" x14ac:dyDescent="0.2">
      <c r="F600" s="84"/>
    </row>
    <row r="601" spans="6:6" ht="12.75" customHeight="1" x14ac:dyDescent="0.2">
      <c r="F601" s="84"/>
    </row>
    <row r="602" spans="6:6" ht="12.75" customHeight="1" x14ac:dyDescent="0.2">
      <c r="F602" s="84"/>
    </row>
    <row r="603" spans="6:6" ht="12.75" customHeight="1" x14ac:dyDescent="0.2">
      <c r="F603" s="84"/>
    </row>
    <row r="604" spans="6:6" ht="12.75" customHeight="1" x14ac:dyDescent="0.2">
      <c r="F604" s="84"/>
    </row>
    <row r="605" spans="6:6" ht="12.75" customHeight="1" x14ac:dyDescent="0.2">
      <c r="F605" s="84"/>
    </row>
    <row r="606" spans="6:6" ht="12.75" customHeight="1" x14ac:dyDescent="0.2">
      <c r="F606" s="84"/>
    </row>
    <row r="607" spans="6:6" ht="12.75" customHeight="1" x14ac:dyDescent="0.2">
      <c r="F607" s="84"/>
    </row>
    <row r="608" spans="6:6" ht="12.75" customHeight="1" x14ac:dyDescent="0.2">
      <c r="F608" s="84"/>
    </row>
    <row r="609" spans="6:6" ht="12.75" customHeight="1" x14ac:dyDescent="0.2">
      <c r="F609" s="84"/>
    </row>
    <row r="610" spans="6:6" ht="12.75" customHeight="1" x14ac:dyDescent="0.2">
      <c r="F610" s="84"/>
    </row>
    <row r="611" spans="6:6" ht="12.75" customHeight="1" x14ac:dyDescent="0.2">
      <c r="F611" s="84"/>
    </row>
    <row r="612" spans="6:6" ht="12.75" customHeight="1" x14ac:dyDescent="0.2">
      <c r="F612" s="84"/>
    </row>
    <row r="613" spans="6:6" ht="12.75" customHeight="1" x14ac:dyDescent="0.2">
      <c r="F613" s="84"/>
    </row>
    <row r="614" spans="6:6" ht="12.75" customHeight="1" x14ac:dyDescent="0.2">
      <c r="F614" s="84"/>
    </row>
    <row r="615" spans="6:6" ht="12.75" customHeight="1" x14ac:dyDescent="0.2">
      <c r="F615" s="84"/>
    </row>
    <row r="616" spans="6:6" ht="12.75" customHeight="1" x14ac:dyDescent="0.2">
      <c r="F616" s="84"/>
    </row>
    <row r="617" spans="6:6" ht="12.75" customHeight="1" x14ac:dyDescent="0.2">
      <c r="F617" s="84"/>
    </row>
    <row r="618" spans="6:6" ht="12.75" customHeight="1" x14ac:dyDescent="0.2">
      <c r="F618" s="84"/>
    </row>
    <row r="619" spans="6:6" ht="12.75" customHeight="1" x14ac:dyDescent="0.2">
      <c r="F619" s="84"/>
    </row>
    <row r="620" spans="6:6" ht="12.75" customHeight="1" x14ac:dyDescent="0.2">
      <c r="F620" s="84"/>
    </row>
    <row r="621" spans="6:6" ht="12.75" customHeight="1" x14ac:dyDescent="0.2">
      <c r="F621" s="84"/>
    </row>
    <row r="622" spans="6:6" ht="12.75" customHeight="1" x14ac:dyDescent="0.2">
      <c r="F622" s="84"/>
    </row>
    <row r="623" spans="6:6" ht="12.75" customHeight="1" x14ac:dyDescent="0.2">
      <c r="F623" s="84"/>
    </row>
    <row r="624" spans="6:6" ht="12.75" customHeight="1" x14ac:dyDescent="0.2">
      <c r="F624" s="84"/>
    </row>
    <row r="625" spans="6:6" ht="12.75" customHeight="1" x14ac:dyDescent="0.2">
      <c r="F625" s="84"/>
    </row>
    <row r="626" spans="6:6" ht="12.75" customHeight="1" x14ac:dyDescent="0.2">
      <c r="F626" s="84"/>
    </row>
    <row r="627" spans="6:6" ht="12.75" customHeight="1" x14ac:dyDescent="0.2">
      <c r="F627" s="84"/>
    </row>
    <row r="628" spans="6:6" ht="12.75" customHeight="1" x14ac:dyDescent="0.2">
      <c r="F628" s="84"/>
    </row>
    <row r="629" spans="6:6" ht="12.75" customHeight="1" x14ac:dyDescent="0.2">
      <c r="F629" s="84"/>
    </row>
    <row r="630" spans="6:6" ht="12.75" customHeight="1" x14ac:dyDescent="0.2">
      <c r="F630" s="84"/>
    </row>
    <row r="631" spans="6:6" ht="12.75" customHeight="1" x14ac:dyDescent="0.2">
      <c r="F631" s="84"/>
    </row>
    <row r="632" spans="6:6" ht="12.75" customHeight="1" x14ac:dyDescent="0.2">
      <c r="F632" s="84"/>
    </row>
    <row r="633" spans="6:6" ht="12.75" customHeight="1" x14ac:dyDescent="0.2">
      <c r="F633" s="84"/>
    </row>
    <row r="634" spans="6:6" ht="12.75" customHeight="1" x14ac:dyDescent="0.2">
      <c r="F634" s="84"/>
    </row>
    <row r="635" spans="6:6" ht="12.75" customHeight="1" x14ac:dyDescent="0.2">
      <c r="F635" s="84"/>
    </row>
    <row r="636" spans="6:6" ht="12.75" customHeight="1" x14ac:dyDescent="0.2">
      <c r="F636" s="84"/>
    </row>
    <row r="637" spans="6:6" ht="12.75" customHeight="1" x14ac:dyDescent="0.2">
      <c r="F637" s="84"/>
    </row>
    <row r="638" spans="6:6" ht="12.75" customHeight="1" x14ac:dyDescent="0.2">
      <c r="F638" s="84"/>
    </row>
    <row r="639" spans="6:6" ht="12.75" customHeight="1" x14ac:dyDescent="0.2">
      <c r="F639" s="84"/>
    </row>
    <row r="640" spans="6:6" ht="12.75" customHeight="1" x14ac:dyDescent="0.2">
      <c r="F640" s="84"/>
    </row>
    <row r="641" spans="6:6" ht="12.75" customHeight="1" x14ac:dyDescent="0.2">
      <c r="F641" s="84"/>
    </row>
    <row r="642" spans="6:6" ht="12.75" customHeight="1" x14ac:dyDescent="0.2">
      <c r="F642" s="84"/>
    </row>
    <row r="643" spans="6:6" ht="12.75" customHeight="1" x14ac:dyDescent="0.2">
      <c r="F643" s="84"/>
    </row>
    <row r="644" spans="6:6" ht="12.75" customHeight="1" x14ac:dyDescent="0.2">
      <c r="F644" s="84"/>
    </row>
    <row r="645" spans="6:6" ht="12.75" customHeight="1" x14ac:dyDescent="0.2">
      <c r="F645" s="84"/>
    </row>
    <row r="646" spans="6:6" ht="12.75" customHeight="1" x14ac:dyDescent="0.2">
      <c r="F646" s="84"/>
    </row>
    <row r="647" spans="6:6" ht="12.75" customHeight="1" x14ac:dyDescent="0.2">
      <c r="F647" s="84"/>
    </row>
    <row r="648" spans="6:6" ht="12.75" customHeight="1" x14ac:dyDescent="0.2">
      <c r="F648" s="84"/>
    </row>
    <row r="649" spans="6:6" ht="12.75" customHeight="1" x14ac:dyDescent="0.2">
      <c r="F649" s="84"/>
    </row>
    <row r="650" spans="6:6" ht="12.75" customHeight="1" x14ac:dyDescent="0.2">
      <c r="F650" s="84"/>
    </row>
    <row r="651" spans="6:6" ht="12.75" customHeight="1" x14ac:dyDescent="0.2">
      <c r="F651" s="84"/>
    </row>
    <row r="652" spans="6:6" ht="12.75" customHeight="1" x14ac:dyDescent="0.2">
      <c r="F652" s="84"/>
    </row>
    <row r="653" spans="6:6" ht="12.75" customHeight="1" x14ac:dyDescent="0.2">
      <c r="F653" s="84"/>
    </row>
    <row r="654" spans="6:6" ht="12.75" customHeight="1" x14ac:dyDescent="0.2">
      <c r="F654" s="84"/>
    </row>
    <row r="655" spans="6:6" ht="12.75" customHeight="1" x14ac:dyDescent="0.2">
      <c r="F655" s="84"/>
    </row>
    <row r="656" spans="6:6" ht="12.75" customHeight="1" x14ac:dyDescent="0.2">
      <c r="F656" s="84"/>
    </row>
    <row r="657" spans="6:6" ht="12.75" customHeight="1" x14ac:dyDescent="0.2">
      <c r="F657" s="84"/>
    </row>
    <row r="658" spans="6:6" ht="12.75" customHeight="1" x14ac:dyDescent="0.2">
      <c r="F658" s="84"/>
    </row>
    <row r="659" spans="6:6" ht="12.75" customHeight="1" x14ac:dyDescent="0.2">
      <c r="F659" s="84"/>
    </row>
    <row r="660" spans="6:6" ht="12.75" customHeight="1" x14ac:dyDescent="0.2">
      <c r="F660" s="84"/>
    </row>
    <row r="661" spans="6:6" ht="12.75" customHeight="1" x14ac:dyDescent="0.2">
      <c r="F661" s="84"/>
    </row>
    <row r="662" spans="6:6" ht="12.75" customHeight="1" x14ac:dyDescent="0.2">
      <c r="F662" s="84"/>
    </row>
    <row r="663" spans="6:6" ht="12.75" customHeight="1" x14ac:dyDescent="0.2">
      <c r="F663" s="84"/>
    </row>
    <row r="664" spans="6:6" ht="12.75" customHeight="1" x14ac:dyDescent="0.2">
      <c r="F664" s="84"/>
    </row>
    <row r="665" spans="6:6" ht="12.75" customHeight="1" x14ac:dyDescent="0.2">
      <c r="F665" s="84"/>
    </row>
    <row r="666" spans="6:6" ht="12.75" customHeight="1" x14ac:dyDescent="0.2">
      <c r="F666" s="84"/>
    </row>
    <row r="667" spans="6:6" ht="12.75" customHeight="1" x14ac:dyDescent="0.2">
      <c r="F667" s="84"/>
    </row>
    <row r="668" spans="6:6" ht="12.75" customHeight="1" x14ac:dyDescent="0.2">
      <c r="F668" s="84"/>
    </row>
    <row r="669" spans="6:6" ht="12.75" customHeight="1" x14ac:dyDescent="0.2">
      <c r="F669" s="84"/>
    </row>
    <row r="670" spans="6:6" ht="12.75" customHeight="1" x14ac:dyDescent="0.2">
      <c r="F670" s="84"/>
    </row>
    <row r="671" spans="6:6" ht="12.75" customHeight="1" x14ac:dyDescent="0.2">
      <c r="F671" s="84"/>
    </row>
    <row r="672" spans="6:6" ht="12.75" customHeight="1" x14ac:dyDescent="0.2">
      <c r="F672" s="84"/>
    </row>
    <row r="673" spans="6:6" ht="12.75" customHeight="1" x14ac:dyDescent="0.2">
      <c r="F673" s="84"/>
    </row>
    <row r="674" spans="6:6" ht="12.75" customHeight="1" x14ac:dyDescent="0.2">
      <c r="F674" s="84"/>
    </row>
    <row r="675" spans="6:6" ht="12.75" customHeight="1" x14ac:dyDescent="0.2">
      <c r="F675" s="84"/>
    </row>
    <row r="676" spans="6:6" ht="12.75" customHeight="1" x14ac:dyDescent="0.2">
      <c r="F676" s="84"/>
    </row>
    <row r="677" spans="6:6" ht="12.75" customHeight="1" x14ac:dyDescent="0.2">
      <c r="F677" s="84"/>
    </row>
    <row r="678" spans="6:6" ht="12.75" customHeight="1" x14ac:dyDescent="0.2">
      <c r="F678" s="84"/>
    </row>
    <row r="679" spans="6:6" ht="12.75" customHeight="1" x14ac:dyDescent="0.2">
      <c r="F679" s="84"/>
    </row>
    <row r="680" spans="6:6" ht="12.75" customHeight="1" x14ac:dyDescent="0.2">
      <c r="F680" s="84"/>
    </row>
    <row r="681" spans="6:6" ht="12.75" customHeight="1" x14ac:dyDescent="0.2">
      <c r="F681" s="84"/>
    </row>
    <row r="682" spans="6:6" ht="12.75" customHeight="1" x14ac:dyDescent="0.2">
      <c r="F682" s="84"/>
    </row>
    <row r="683" spans="6:6" ht="12.75" customHeight="1" x14ac:dyDescent="0.2">
      <c r="F683" s="84"/>
    </row>
    <row r="684" spans="6:6" ht="12.75" customHeight="1" x14ac:dyDescent="0.2">
      <c r="F684" s="84"/>
    </row>
    <row r="685" spans="6:6" ht="12.75" customHeight="1" x14ac:dyDescent="0.2">
      <c r="F685" s="84"/>
    </row>
    <row r="686" spans="6:6" ht="12.75" customHeight="1" x14ac:dyDescent="0.2">
      <c r="F686" s="84"/>
    </row>
    <row r="687" spans="6:6" ht="12.75" customHeight="1" x14ac:dyDescent="0.2">
      <c r="F687" s="84"/>
    </row>
    <row r="688" spans="6:6" ht="12.75" customHeight="1" x14ac:dyDescent="0.2">
      <c r="F688" s="84"/>
    </row>
    <row r="689" spans="6:6" ht="12.75" customHeight="1" x14ac:dyDescent="0.2">
      <c r="F689" s="84"/>
    </row>
    <row r="690" spans="6:6" ht="12.75" customHeight="1" x14ac:dyDescent="0.2">
      <c r="F690" s="84"/>
    </row>
    <row r="691" spans="6:6" ht="12.75" customHeight="1" x14ac:dyDescent="0.2">
      <c r="F691" s="84"/>
    </row>
    <row r="692" spans="6:6" ht="12.75" customHeight="1" x14ac:dyDescent="0.2">
      <c r="F692" s="84"/>
    </row>
    <row r="693" spans="6:6" ht="12.75" customHeight="1" x14ac:dyDescent="0.2">
      <c r="F693" s="84"/>
    </row>
    <row r="694" spans="6:6" ht="12.75" customHeight="1" x14ac:dyDescent="0.2">
      <c r="F694" s="84"/>
    </row>
    <row r="695" spans="6:6" ht="12.75" customHeight="1" x14ac:dyDescent="0.2">
      <c r="F695" s="84"/>
    </row>
    <row r="696" spans="6:6" ht="12.75" customHeight="1" x14ac:dyDescent="0.2">
      <c r="F696" s="84"/>
    </row>
    <row r="697" spans="6:6" ht="12.75" customHeight="1" x14ac:dyDescent="0.2">
      <c r="F697" s="84"/>
    </row>
    <row r="698" spans="6:6" ht="12.75" customHeight="1" x14ac:dyDescent="0.2">
      <c r="F698" s="84"/>
    </row>
    <row r="699" spans="6:6" ht="12.75" customHeight="1" x14ac:dyDescent="0.2">
      <c r="F699" s="84"/>
    </row>
    <row r="700" spans="6:6" ht="12.75" customHeight="1" x14ac:dyDescent="0.2">
      <c r="F700" s="84"/>
    </row>
    <row r="701" spans="6:6" ht="12.75" customHeight="1" x14ac:dyDescent="0.2">
      <c r="F701" s="84"/>
    </row>
    <row r="702" spans="6:6" ht="12.75" customHeight="1" x14ac:dyDescent="0.2">
      <c r="F702" s="84"/>
    </row>
    <row r="703" spans="6:6" ht="12.75" customHeight="1" x14ac:dyDescent="0.2">
      <c r="F703" s="84"/>
    </row>
    <row r="704" spans="6:6" ht="12.75" customHeight="1" x14ac:dyDescent="0.2">
      <c r="F704" s="84"/>
    </row>
    <row r="705" spans="6:6" ht="12.75" customHeight="1" x14ac:dyDescent="0.2">
      <c r="F705" s="84"/>
    </row>
    <row r="706" spans="6:6" ht="12.75" customHeight="1" x14ac:dyDescent="0.2">
      <c r="F706" s="84"/>
    </row>
    <row r="707" spans="6:6" ht="12.75" customHeight="1" x14ac:dyDescent="0.2">
      <c r="F707" s="84"/>
    </row>
    <row r="708" spans="6:6" ht="12.75" customHeight="1" x14ac:dyDescent="0.2">
      <c r="F708" s="84"/>
    </row>
    <row r="709" spans="6:6" ht="12.75" customHeight="1" x14ac:dyDescent="0.2">
      <c r="F709" s="84"/>
    </row>
    <row r="710" spans="6:6" ht="12.75" customHeight="1" x14ac:dyDescent="0.2">
      <c r="F710" s="84"/>
    </row>
    <row r="711" spans="6:6" ht="12.75" customHeight="1" x14ac:dyDescent="0.2">
      <c r="F711" s="84"/>
    </row>
    <row r="712" spans="6:6" ht="12.75" customHeight="1" x14ac:dyDescent="0.2">
      <c r="F712" s="84"/>
    </row>
    <row r="713" spans="6:6" ht="12.75" customHeight="1" x14ac:dyDescent="0.2">
      <c r="F713" s="84"/>
    </row>
    <row r="714" spans="6:6" ht="12.75" customHeight="1" x14ac:dyDescent="0.2">
      <c r="F714" s="84"/>
    </row>
    <row r="715" spans="6:6" ht="12.75" customHeight="1" x14ac:dyDescent="0.2">
      <c r="F715" s="84"/>
    </row>
    <row r="716" spans="6:6" ht="12.75" customHeight="1" x14ac:dyDescent="0.2">
      <c r="F716" s="84"/>
    </row>
    <row r="717" spans="6:6" ht="12.75" customHeight="1" x14ac:dyDescent="0.2">
      <c r="F717" s="84"/>
    </row>
    <row r="718" spans="6:6" ht="12.75" customHeight="1" x14ac:dyDescent="0.2">
      <c r="F718" s="84"/>
    </row>
    <row r="719" spans="6:6" ht="12.75" customHeight="1" x14ac:dyDescent="0.2">
      <c r="F719" s="84"/>
    </row>
    <row r="720" spans="6:6" ht="12.75" customHeight="1" x14ac:dyDescent="0.2">
      <c r="F720" s="84"/>
    </row>
    <row r="721" spans="6:6" ht="12.75" customHeight="1" x14ac:dyDescent="0.2">
      <c r="F721" s="84"/>
    </row>
    <row r="722" spans="6:6" ht="12.75" customHeight="1" x14ac:dyDescent="0.2">
      <c r="F722" s="84"/>
    </row>
    <row r="723" spans="6:6" ht="12.75" customHeight="1" x14ac:dyDescent="0.2">
      <c r="F723" s="84"/>
    </row>
    <row r="724" spans="6:6" ht="12.75" customHeight="1" x14ac:dyDescent="0.2">
      <c r="F724" s="84"/>
    </row>
    <row r="725" spans="6:6" ht="12.75" customHeight="1" x14ac:dyDescent="0.2">
      <c r="F725" s="84"/>
    </row>
    <row r="726" spans="6:6" ht="12.75" customHeight="1" x14ac:dyDescent="0.2">
      <c r="F726" s="84"/>
    </row>
    <row r="727" spans="6:6" ht="12.75" customHeight="1" x14ac:dyDescent="0.2">
      <c r="F727" s="84"/>
    </row>
    <row r="728" spans="6:6" ht="12.75" customHeight="1" x14ac:dyDescent="0.2">
      <c r="F728" s="84"/>
    </row>
    <row r="729" spans="6:6" ht="12.75" customHeight="1" x14ac:dyDescent="0.2">
      <c r="F729" s="84"/>
    </row>
    <row r="730" spans="6:6" ht="12.75" customHeight="1" x14ac:dyDescent="0.2">
      <c r="F730" s="84"/>
    </row>
    <row r="731" spans="6:6" ht="12.75" customHeight="1" x14ac:dyDescent="0.2">
      <c r="F731" s="84"/>
    </row>
    <row r="732" spans="6:6" ht="12.75" customHeight="1" x14ac:dyDescent="0.2">
      <c r="F732" s="84"/>
    </row>
    <row r="733" spans="6:6" ht="12.75" customHeight="1" x14ac:dyDescent="0.2">
      <c r="F733" s="84"/>
    </row>
    <row r="734" spans="6:6" ht="12.75" customHeight="1" x14ac:dyDescent="0.2">
      <c r="F734" s="84"/>
    </row>
    <row r="735" spans="6:6" ht="12.75" customHeight="1" x14ac:dyDescent="0.2">
      <c r="F735" s="84"/>
    </row>
    <row r="736" spans="6:6" ht="12.75" customHeight="1" x14ac:dyDescent="0.2">
      <c r="F736" s="84"/>
    </row>
    <row r="737" spans="6:6" ht="12.75" customHeight="1" x14ac:dyDescent="0.2">
      <c r="F737" s="84"/>
    </row>
    <row r="738" spans="6:6" ht="12.75" customHeight="1" x14ac:dyDescent="0.2">
      <c r="F738" s="84"/>
    </row>
    <row r="739" spans="6:6" ht="12.75" customHeight="1" x14ac:dyDescent="0.2">
      <c r="F739" s="84"/>
    </row>
    <row r="740" spans="6:6" ht="12.75" customHeight="1" x14ac:dyDescent="0.2">
      <c r="F740" s="84"/>
    </row>
    <row r="741" spans="6:6" ht="12.75" customHeight="1" x14ac:dyDescent="0.2">
      <c r="F741" s="84"/>
    </row>
    <row r="742" spans="6:6" ht="12.75" customHeight="1" x14ac:dyDescent="0.2">
      <c r="F742" s="84"/>
    </row>
    <row r="743" spans="6:6" ht="12.75" customHeight="1" x14ac:dyDescent="0.2">
      <c r="F743" s="84"/>
    </row>
    <row r="744" spans="6:6" ht="12.75" customHeight="1" x14ac:dyDescent="0.2">
      <c r="F744" s="84"/>
    </row>
    <row r="745" spans="6:6" ht="12.75" customHeight="1" x14ac:dyDescent="0.2">
      <c r="F745" s="84"/>
    </row>
    <row r="746" spans="6:6" ht="12.75" customHeight="1" x14ac:dyDescent="0.2">
      <c r="F746" s="84"/>
    </row>
    <row r="747" spans="6:6" ht="12.75" customHeight="1" x14ac:dyDescent="0.2">
      <c r="F747" s="84"/>
    </row>
    <row r="748" spans="6:6" ht="12.75" customHeight="1" x14ac:dyDescent="0.2">
      <c r="F748" s="84"/>
    </row>
    <row r="749" spans="6:6" ht="12.75" customHeight="1" x14ac:dyDescent="0.2">
      <c r="F749" s="84"/>
    </row>
    <row r="750" spans="6:6" ht="12.75" customHeight="1" x14ac:dyDescent="0.2">
      <c r="F750" s="84"/>
    </row>
    <row r="751" spans="6:6" ht="12.75" customHeight="1" x14ac:dyDescent="0.2">
      <c r="F751" s="84"/>
    </row>
    <row r="752" spans="6:6" ht="12.75" customHeight="1" x14ac:dyDescent="0.2">
      <c r="F752" s="84"/>
    </row>
    <row r="753" spans="6:6" ht="12.75" customHeight="1" x14ac:dyDescent="0.2">
      <c r="F753" s="84"/>
    </row>
    <row r="754" spans="6:6" ht="12.75" customHeight="1" x14ac:dyDescent="0.2">
      <c r="F754" s="84"/>
    </row>
    <row r="755" spans="6:6" ht="12.75" customHeight="1" x14ac:dyDescent="0.2">
      <c r="F755" s="84"/>
    </row>
    <row r="756" spans="6:6" ht="12.75" customHeight="1" x14ac:dyDescent="0.2">
      <c r="F756" s="84"/>
    </row>
    <row r="757" spans="6:6" ht="12.75" customHeight="1" x14ac:dyDescent="0.2">
      <c r="F757" s="84"/>
    </row>
    <row r="758" spans="6:6" ht="12.75" customHeight="1" x14ac:dyDescent="0.2">
      <c r="F758" s="84"/>
    </row>
    <row r="759" spans="6:6" ht="12.75" customHeight="1" x14ac:dyDescent="0.2">
      <c r="F759" s="84"/>
    </row>
    <row r="760" spans="6:6" ht="12.75" customHeight="1" x14ac:dyDescent="0.2">
      <c r="F760" s="84"/>
    </row>
    <row r="761" spans="6:6" ht="12.75" customHeight="1" x14ac:dyDescent="0.2">
      <c r="F761" s="84"/>
    </row>
    <row r="762" spans="6:6" ht="12.75" customHeight="1" x14ac:dyDescent="0.2">
      <c r="F762" s="84"/>
    </row>
    <row r="763" spans="6:6" ht="12.75" customHeight="1" x14ac:dyDescent="0.2">
      <c r="F763" s="84"/>
    </row>
    <row r="764" spans="6:6" ht="12.75" customHeight="1" x14ac:dyDescent="0.2">
      <c r="F764" s="84"/>
    </row>
    <row r="765" spans="6:6" ht="12.75" customHeight="1" x14ac:dyDescent="0.2">
      <c r="F765" s="84"/>
    </row>
    <row r="766" spans="6:6" ht="12.75" customHeight="1" x14ac:dyDescent="0.2">
      <c r="F766" s="84"/>
    </row>
    <row r="767" spans="6:6" ht="12.75" customHeight="1" x14ac:dyDescent="0.2">
      <c r="F767" s="84"/>
    </row>
    <row r="768" spans="6:6" ht="12.75" customHeight="1" x14ac:dyDescent="0.2">
      <c r="F768" s="84"/>
    </row>
    <row r="769" spans="6:6" ht="12.75" customHeight="1" x14ac:dyDescent="0.2">
      <c r="F769" s="84"/>
    </row>
    <row r="770" spans="6:6" ht="12.75" customHeight="1" x14ac:dyDescent="0.2">
      <c r="F770" s="84"/>
    </row>
    <row r="771" spans="6:6" ht="12.75" customHeight="1" x14ac:dyDescent="0.2">
      <c r="F771" s="84"/>
    </row>
    <row r="772" spans="6:6" ht="12.75" customHeight="1" x14ac:dyDescent="0.2">
      <c r="F772" s="84"/>
    </row>
    <row r="773" spans="6:6" ht="12.75" customHeight="1" x14ac:dyDescent="0.2">
      <c r="F773" s="84"/>
    </row>
    <row r="774" spans="6:6" ht="12.75" customHeight="1" x14ac:dyDescent="0.2">
      <c r="F774" s="84"/>
    </row>
    <row r="775" spans="6:6" ht="12.75" customHeight="1" x14ac:dyDescent="0.2">
      <c r="F775" s="84"/>
    </row>
    <row r="776" spans="6:6" ht="12.75" customHeight="1" x14ac:dyDescent="0.2">
      <c r="F776" s="84"/>
    </row>
    <row r="777" spans="6:6" ht="12.75" customHeight="1" x14ac:dyDescent="0.2">
      <c r="F777" s="84"/>
    </row>
    <row r="778" spans="6:6" ht="12.75" customHeight="1" x14ac:dyDescent="0.2">
      <c r="F778" s="84"/>
    </row>
    <row r="779" spans="6:6" ht="12.75" customHeight="1" x14ac:dyDescent="0.2">
      <c r="F779" s="84"/>
    </row>
    <row r="780" spans="6:6" ht="12.75" customHeight="1" x14ac:dyDescent="0.2">
      <c r="F780" s="84"/>
    </row>
    <row r="781" spans="6:6" ht="12.75" customHeight="1" x14ac:dyDescent="0.2">
      <c r="F781" s="84"/>
    </row>
    <row r="782" spans="6:6" ht="12.75" customHeight="1" x14ac:dyDescent="0.2">
      <c r="F782" s="84"/>
    </row>
    <row r="783" spans="6:6" ht="12.75" customHeight="1" x14ac:dyDescent="0.2">
      <c r="F783" s="84"/>
    </row>
    <row r="784" spans="6:6" ht="12.75" customHeight="1" x14ac:dyDescent="0.2">
      <c r="F784" s="84"/>
    </row>
    <row r="785" spans="6:6" ht="12.75" customHeight="1" x14ac:dyDescent="0.2">
      <c r="F785" s="84"/>
    </row>
    <row r="786" spans="6:6" ht="12.75" customHeight="1" x14ac:dyDescent="0.2">
      <c r="F786" s="84"/>
    </row>
    <row r="787" spans="6:6" ht="12.75" customHeight="1" x14ac:dyDescent="0.2">
      <c r="F787" s="84"/>
    </row>
    <row r="788" spans="6:6" ht="12.75" customHeight="1" x14ac:dyDescent="0.2">
      <c r="F788" s="84"/>
    </row>
    <row r="789" spans="6:6" ht="12.75" customHeight="1" x14ac:dyDescent="0.2">
      <c r="F789" s="84"/>
    </row>
    <row r="790" spans="6:6" ht="12.75" customHeight="1" x14ac:dyDescent="0.2">
      <c r="F790" s="84"/>
    </row>
    <row r="791" spans="6:6" ht="12.75" customHeight="1" x14ac:dyDescent="0.2">
      <c r="F791" s="84"/>
    </row>
    <row r="792" spans="6:6" ht="12.75" customHeight="1" x14ac:dyDescent="0.2">
      <c r="F792" s="84"/>
    </row>
    <row r="793" spans="6:6" ht="12.75" customHeight="1" x14ac:dyDescent="0.2">
      <c r="F793" s="84"/>
    </row>
    <row r="794" spans="6:6" ht="12.75" customHeight="1" x14ac:dyDescent="0.2">
      <c r="F794" s="84"/>
    </row>
    <row r="795" spans="6:6" ht="12.75" customHeight="1" x14ac:dyDescent="0.2">
      <c r="F795" s="84"/>
    </row>
    <row r="796" spans="6:6" ht="12.75" customHeight="1" x14ac:dyDescent="0.2">
      <c r="F796" s="84"/>
    </row>
    <row r="797" spans="6:6" ht="12.75" customHeight="1" x14ac:dyDescent="0.2">
      <c r="F797" s="84"/>
    </row>
    <row r="798" spans="6:6" ht="12.75" customHeight="1" x14ac:dyDescent="0.2">
      <c r="F798" s="84"/>
    </row>
    <row r="799" spans="6:6" ht="12.75" customHeight="1" x14ac:dyDescent="0.2">
      <c r="F799" s="84"/>
    </row>
    <row r="800" spans="6:6" ht="12.75" customHeight="1" x14ac:dyDescent="0.2">
      <c r="F800" s="84"/>
    </row>
    <row r="801" spans="6:6" ht="12.75" customHeight="1" x14ac:dyDescent="0.2">
      <c r="F801" s="84"/>
    </row>
    <row r="802" spans="6:6" ht="12.75" customHeight="1" x14ac:dyDescent="0.2">
      <c r="F802" s="84"/>
    </row>
    <row r="803" spans="6:6" ht="12.75" customHeight="1" x14ac:dyDescent="0.2">
      <c r="F803" s="84"/>
    </row>
    <row r="804" spans="6:6" ht="12.75" customHeight="1" x14ac:dyDescent="0.2">
      <c r="F804" s="84"/>
    </row>
    <row r="805" spans="6:6" ht="12.75" customHeight="1" x14ac:dyDescent="0.2">
      <c r="F805" s="84"/>
    </row>
    <row r="806" spans="6:6" ht="12.75" customHeight="1" x14ac:dyDescent="0.2">
      <c r="F806" s="84"/>
    </row>
    <row r="807" spans="6:6" ht="12.75" customHeight="1" x14ac:dyDescent="0.2">
      <c r="F807" s="84"/>
    </row>
    <row r="808" spans="6:6" ht="12.75" customHeight="1" x14ac:dyDescent="0.2">
      <c r="F808" s="84"/>
    </row>
    <row r="809" spans="6:6" ht="12.75" customHeight="1" x14ac:dyDescent="0.2">
      <c r="F809" s="84"/>
    </row>
    <row r="810" spans="6:6" ht="12.75" customHeight="1" x14ac:dyDescent="0.2">
      <c r="F810" s="84"/>
    </row>
    <row r="811" spans="6:6" ht="12.75" customHeight="1" x14ac:dyDescent="0.2">
      <c r="F811" s="84"/>
    </row>
    <row r="812" spans="6:6" ht="12.75" customHeight="1" x14ac:dyDescent="0.2">
      <c r="F812" s="84"/>
    </row>
    <row r="813" spans="6:6" ht="12.75" customHeight="1" x14ac:dyDescent="0.2">
      <c r="F813" s="84"/>
    </row>
    <row r="814" spans="6:6" ht="12.75" customHeight="1" x14ac:dyDescent="0.2">
      <c r="F814" s="84"/>
    </row>
    <row r="815" spans="6:6" ht="12.75" customHeight="1" x14ac:dyDescent="0.2">
      <c r="F815" s="84"/>
    </row>
    <row r="816" spans="6:6" ht="12.75" customHeight="1" x14ac:dyDescent="0.2">
      <c r="F816" s="84"/>
    </row>
    <row r="817" spans="6:6" ht="12.75" customHeight="1" x14ac:dyDescent="0.2">
      <c r="F817" s="84"/>
    </row>
    <row r="818" spans="6:6" ht="12.75" customHeight="1" x14ac:dyDescent="0.2">
      <c r="F818" s="84"/>
    </row>
    <row r="819" spans="6:6" ht="12.75" customHeight="1" x14ac:dyDescent="0.2">
      <c r="F819" s="84"/>
    </row>
    <row r="820" spans="6:6" ht="12.75" customHeight="1" x14ac:dyDescent="0.2">
      <c r="F820" s="84"/>
    </row>
    <row r="821" spans="6:6" ht="12.75" customHeight="1" x14ac:dyDescent="0.2">
      <c r="F821" s="84"/>
    </row>
    <row r="822" spans="6:6" ht="12.75" customHeight="1" x14ac:dyDescent="0.2">
      <c r="F822" s="84"/>
    </row>
    <row r="823" spans="6:6" ht="12.75" customHeight="1" x14ac:dyDescent="0.2">
      <c r="F823" s="84"/>
    </row>
    <row r="824" spans="6:6" ht="12.75" customHeight="1" x14ac:dyDescent="0.2">
      <c r="F824" s="84"/>
    </row>
    <row r="825" spans="6:6" ht="12.75" customHeight="1" x14ac:dyDescent="0.2">
      <c r="F825" s="84"/>
    </row>
    <row r="826" spans="6:6" ht="12.75" customHeight="1" x14ac:dyDescent="0.2">
      <c r="F826" s="84"/>
    </row>
    <row r="827" spans="6:6" ht="12.75" customHeight="1" x14ac:dyDescent="0.2">
      <c r="F827" s="84"/>
    </row>
    <row r="828" spans="6:6" ht="12.75" customHeight="1" x14ac:dyDescent="0.2">
      <c r="F828" s="84"/>
    </row>
    <row r="829" spans="6:6" ht="12.75" customHeight="1" x14ac:dyDescent="0.2">
      <c r="F829" s="84"/>
    </row>
    <row r="830" spans="6:6" ht="12.75" customHeight="1" x14ac:dyDescent="0.2">
      <c r="F830" s="84"/>
    </row>
    <row r="831" spans="6:6" ht="12.75" customHeight="1" x14ac:dyDescent="0.2">
      <c r="F831" s="84"/>
    </row>
    <row r="832" spans="6:6" ht="12.75" customHeight="1" x14ac:dyDescent="0.2">
      <c r="F832" s="84"/>
    </row>
    <row r="833" spans="6:6" ht="12.75" customHeight="1" x14ac:dyDescent="0.2">
      <c r="F833" s="84"/>
    </row>
    <row r="834" spans="6:6" ht="12.75" customHeight="1" x14ac:dyDescent="0.2">
      <c r="F834" s="84"/>
    </row>
    <row r="835" spans="6:6" ht="12.75" customHeight="1" x14ac:dyDescent="0.2">
      <c r="F835" s="84"/>
    </row>
    <row r="836" spans="6:6" ht="12.75" customHeight="1" x14ac:dyDescent="0.2">
      <c r="F836" s="84"/>
    </row>
    <row r="837" spans="6:6" ht="12.75" customHeight="1" x14ac:dyDescent="0.2">
      <c r="F837" s="84"/>
    </row>
    <row r="838" spans="6:6" ht="12.75" customHeight="1" x14ac:dyDescent="0.2">
      <c r="F838" s="84"/>
    </row>
    <row r="839" spans="6:6" ht="12.75" customHeight="1" x14ac:dyDescent="0.2">
      <c r="F839" s="84"/>
    </row>
    <row r="840" spans="6:6" ht="12.75" customHeight="1" x14ac:dyDescent="0.2">
      <c r="F840" s="84"/>
    </row>
    <row r="841" spans="6:6" ht="12.75" customHeight="1" x14ac:dyDescent="0.2">
      <c r="F841" s="84"/>
    </row>
    <row r="842" spans="6:6" ht="12.75" customHeight="1" x14ac:dyDescent="0.2">
      <c r="F842" s="84"/>
    </row>
    <row r="843" spans="6:6" ht="12.75" customHeight="1" x14ac:dyDescent="0.2">
      <c r="F843" s="84"/>
    </row>
    <row r="844" spans="6:6" ht="12.75" customHeight="1" x14ac:dyDescent="0.2">
      <c r="F844" s="84"/>
    </row>
    <row r="845" spans="6:6" ht="12.75" customHeight="1" x14ac:dyDescent="0.2">
      <c r="F845" s="84"/>
    </row>
    <row r="846" spans="6:6" ht="12.75" customHeight="1" x14ac:dyDescent="0.2">
      <c r="F846" s="84"/>
    </row>
    <row r="847" spans="6:6" ht="12.75" customHeight="1" x14ac:dyDescent="0.2">
      <c r="F847" s="84"/>
    </row>
    <row r="848" spans="6:6" ht="12.75" customHeight="1" x14ac:dyDescent="0.2">
      <c r="F848" s="84"/>
    </row>
    <row r="849" spans="6:6" ht="12.75" customHeight="1" x14ac:dyDescent="0.2">
      <c r="F849" s="84"/>
    </row>
    <row r="850" spans="6:6" ht="12.75" customHeight="1" x14ac:dyDescent="0.2">
      <c r="F850" s="84"/>
    </row>
    <row r="851" spans="6:6" ht="12.75" customHeight="1" x14ac:dyDescent="0.2">
      <c r="F851" s="84"/>
    </row>
    <row r="852" spans="6:6" ht="12.75" customHeight="1" x14ac:dyDescent="0.2">
      <c r="F852" s="84"/>
    </row>
    <row r="853" spans="6:6" ht="12.75" customHeight="1" x14ac:dyDescent="0.2">
      <c r="F853" s="84"/>
    </row>
    <row r="854" spans="6:6" ht="12.75" customHeight="1" x14ac:dyDescent="0.2">
      <c r="F854" s="84"/>
    </row>
    <row r="855" spans="6:6" ht="12.75" customHeight="1" x14ac:dyDescent="0.2">
      <c r="F855" s="84"/>
    </row>
    <row r="856" spans="6:6" ht="12.75" customHeight="1" x14ac:dyDescent="0.2">
      <c r="F856" s="84"/>
    </row>
    <row r="857" spans="6:6" ht="12.75" customHeight="1" x14ac:dyDescent="0.2">
      <c r="F857" s="84"/>
    </row>
    <row r="858" spans="6:6" ht="12.75" customHeight="1" x14ac:dyDescent="0.2">
      <c r="F858" s="84"/>
    </row>
    <row r="859" spans="6:6" ht="12.75" customHeight="1" x14ac:dyDescent="0.2">
      <c r="F859" s="84"/>
    </row>
    <row r="860" spans="6:6" ht="12.75" customHeight="1" x14ac:dyDescent="0.2">
      <c r="F860" s="84"/>
    </row>
    <row r="861" spans="6:6" ht="12.75" customHeight="1" x14ac:dyDescent="0.2">
      <c r="F861" s="84"/>
    </row>
    <row r="862" spans="6:6" ht="12.75" customHeight="1" x14ac:dyDescent="0.2">
      <c r="F862" s="84"/>
    </row>
    <row r="863" spans="6:6" ht="12.75" customHeight="1" x14ac:dyDescent="0.2">
      <c r="F863" s="84"/>
    </row>
    <row r="864" spans="6:6" ht="12.75" customHeight="1" x14ac:dyDescent="0.2">
      <c r="F864" s="84"/>
    </row>
    <row r="865" spans="6:6" ht="12.75" customHeight="1" x14ac:dyDescent="0.2">
      <c r="F865" s="84"/>
    </row>
    <row r="866" spans="6:6" ht="12.75" customHeight="1" x14ac:dyDescent="0.2">
      <c r="F866" s="84"/>
    </row>
    <row r="867" spans="6:6" ht="12.75" customHeight="1" x14ac:dyDescent="0.2">
      <c r="F867" s="84"/>
    </row>
    <row r="868" spans="6:6" ht="12.75" customHeight="1" x14ac:dyDescent="0.2">
      <c r="F868" s="84"/>
    </row>
    <row r="869" spans="6:6" ht="12.75" customHeight="1" x14ac:dyDescent="0.2">
      <c r="F869" s="84"/>
    </row>
    <row r="870" spans="6:6" ht="12.75" customHeight="1" x14ac:dyDescent="0.2">
      <c r="F870" s="84"/>
    </row>
    <row r="871" spans="6:6" ht="12.75" customHeight="1" x14ac:dyDescent="0.2">
      <c r="F871" s="84"/>
    </row>
    <row r="872" spans="6:6" ht="12.75" customHeight="1" x14ac:dyDescent="0.2">
      <c r="F872" s="84"/>
    </row>
    <row r="873" spans="6:6" ht="12.75" customHeight="1" x14ac:dyDescent="0.2">
      <c r="F873" s="84"/>
    </row>
    <row r="874" spans="6:6" ht="12.75" customHeight="1" x14ac:dyDescent="0.2">
      <c r="F874" s="84"/>
    </row>
    <row r="875" spans="6:6" ht="12.75" customHeight="1" x14ac:dyDescent="0.2">
      <c r="F875" s="84"/>
    </row>
    <row r="876" spans="6:6" ht="12.75" customHeight="1" x14ac:dyDescent="0.2">
      <c r="F876" s="84"/>
    </row>
    <row r="877" spans="6:6" ht="12.75" customHeight="1" x14ac:dyDescent="0.2">
      <c r="F877" s="84"/>
    </row>
    <row r="878" spans="6:6" ht="12.75" customHeight="1" x14ac:dyDescent="0.2">
      <c r="F878" s="84"/>
    </row>
    <row r="879" spans="6:6" ht="12.75" customHeight="1" x14ac:dyDescent="0.2">
      <c r="F879" s="84"/>
    </row>
    <row r="880" spans="6:6" ht="12.75" customHeight="1" x14ac:dyDescent="0.2">
      <c r="F880" s="84"/>
    </row>
    <row r="881" spans="6:6" ht="12.75" customHeight="1" x14ac:dyDescent="0.2">
      <c r="F881" s="84"/>
    </row>
    <row r="882" spans="6:6" ht="12.75" customHeight="1" x14ac:dyDescent="0.2">
      <c r="F882" s="84"/>
    </row>
    <row r="883" spans="6:6" ht="12.75" customHeight="1" x14ac:dyDescent="0.2">
      <c r="F883" s="84"/>
    </row>
    <row r="884" spans="6:6" ht="12.75" customHeight="1" x14ac:dyDescent="0.2">
      <c r="F884" s="84"/>
    </row>
    <row r="885" spans="6:6" ht="12.75" customHeight="1" x14ac:dyDescent="0.2">
      <c r="F885" s="84"/>
    </row>
    <row r="886" spans="6:6" ht="12.75" customHeight="1" x14ac:dyDescent="0.2">
      <c r="F886" s="84"/>
    </row>
    <row r="887" spans="6:6" ht="12.75" customHeight="1" x14ac:dyDescent="0.2">
      <c r="F887" s="84"/>
    </row>
    <row r="888" spans="6:6" ht="12.75" customHeight="1" x14ac:dyDescent="0.2">
      <c r="F888" s="84"/>
    </row>
    <row r="889" spans="6:6" ht="12.75" customHeight="1" x14ac:dyDescent="0.2">
      <c r="F889" s="84"/>
    </row>
    <row r="890" spans="6:6" ht="12.75" customHeight="1" x14ac:dyDescent="0.2">
      <c r="F890" s="84"/>
    </row>
    <row r="891" spans="6:6" ht="12.75" customHeight="1" x14ac:dyDescent="0.2">
      <c r="F891" s="84"/>
    </row>
    <row r="892" spans="6:6" ht="12.75" customHeight="1" x14ac:dyDescent="0.2">
      <c r="F892" s="84"/>
    </row>
    <row r="893" spans="6:6" ht="12.75" customHeight="1" x14ac:dyDescent="0.2">
      <c r="F893" s="84"/>
    </row>
    <row r="894" spans="6:6" ht="12.75" customHeight="1" x14ac:dyDescent="0.2">
      <c r="F894" s="84"/>
    </row>
    <row r="895" spans="6:6" ht="12.75" customHeight="1" x14ac:dyDescent="0.2">
      <c r="F895" s="84"/>
    </row>
    <row r="896" spans="6:6" ht="12.75" customHeight="1" x14ac:dyDescent="0.2">
      <c r="F896" s="84"/>
    </row>
    <row r="897" spans="6:6" ht="12.75" customHeight="1" x14ac:dyDescent="0.2">
      <c r="F897" s="84"/>
    </row>
    <row r="898" spans="6:6" ht="12.75" customHeight="1" x14ac:dyDescent="0.2">
      <c r="F898" s="84"/>
    </row>
    <row r="899" spans="6:6" ht="12.75" customHeight="1" x14ac:dyDescent="0.2">
      <c r="F899" s="84"/>
    </row>
    <row r="900" spans="6:6" ht="12.75" customHeight="1" x14ac:dyDescent="0.2">
      <c r="F900" s="84"/>
    </row>
    <row r="901" spans="6:6" ht="12.75" customHeight="1" x14ac:dyDescent="0.2">
      <c r="F901" s="84"/>
    </row>
    <row r="902" spans="6:6" ht="12.75" customHeight="1" x14ac:dyDescent="0.2">
      <c r="F902" s="84"/>
    </row>
    <row r="903" spans="6:6" ht="12.75" customHeight="1" x14ac:dyDescent="0.2">
      <c r="F903" s="84"/>
    </row>
    <row r="904" spans="6:6" ht="12.75" customHeight="1" x14ac:dyDescent="0.2">
      <c r="F904" s="84"/>
    </row>
    <row r="905" spans="6:6" ht="12.75" customHeight="1" x14ac:dyDescent="0.2">
      <c r="F905" s="84"/>
    </row>
    <row r="906" spans="6:6" ht="12.75" customHeight="1" x14ac:dyDescent="0.2">
      <c r="F906" s="84"/>
    </row>
    <row r="907" spans="6:6" ht="12.75" customHeight="1" x14ac:dyDescent="0.2">
      <c r="F907" s="84"/>
    </row>
    <row r="908" spans="6:6" ht="12.75" customHeight="1" x14ac:dyDescent="0.2">
      <c r="F908" s="84"/>
    </row>
    <row r="909" spans="6:6" ht="12.75" customHeight="1" x14ac:dyDescent="0.2">
      <c r="F909" s="84"/>
    </row>
    <row r="910" spans="6:6" ht="12.75" customHeight="1" x14ac:dyDescent="0.2">
      <c r="F910" s="84"/>
    </row>
    <row r="911" spans="6:6" ht="12.75" customHeight="1" x14ac:dyDescent="0.2">
      <c r="F911" s="84"/>
    </row>
    <row r="912" spans="6:6" ht="12.75" customHeight="1" x14ac:dyDescent="0.2">
      <c r="F912" s="84"/>
    </row>
    <row r="913" spans="6:6" ht="12.75" customHeight="1" x14ac:dyDescent="0.2">
      <c r="F913" s="84"/>
    </row>
    <row r="914" spans="6:6" ht="12.75" customHeight="1" x14ac:dyDescent="0.2">
      <c r="F914" s="84"/>
    </row>
    <row r="915" spans="6:6" ht="12.75" customHeight="1" x14ac:dyDescent="0.2">
      <c r="F915" s="84"/>
    </row>
    <row r="916" spans="6:6" ht="12.75" customHeight="1" x14ac:dyDescent="0.2">
      <c r="F916" s="84"/>
    </row>
    <row r="917" spans="6:6" ht="12.75" customHeight="1" x14ac:dyDescent="0.2">
      <c r="F917" s="84"/>
    </row>
    <row r="918" spans="6:6" ht="12.75" customHeight="1" x14ac:dyDescent="0.2">
      <c r="F918" s="84"/>
    </row>
    <row r="919" spans="6:6" ht="12.75" customHeight="1" x14ac:dyDescent="0.2">
      <c r="F919" s="84"/>
    </row>
    <row r="920" spans="6:6" ht="12.75" customHeight="1" x14ac:dyDescent="0.2">
      <c r="F920" s="84"/>
    </row>
    <row r="921" spans="6:6" ht="12.75" customHeight="1" x14ac:dyDescent="0.2">
      <c r="F921" s="84"/>
    </row>
    <row r="922" spans="6:6" ht="12.75" customHeight="1" x14ac:dyDescent="0.2">
      <c r="F922" s="84"/>
    </row>
    <row r="923" spans="6:6" ht="12.75" customHeight="1" x14ac:dyDescent="0.2">
      <c r="F923" s="84"/>
    </row>
    <row r="924" spans="6:6" ht="12.75" customHeight="1" x14ac:dyDescent="0.2">
      <c r="F924" s="84"/>
    </row>
    <row r="925" spans="6:6" ht="12.75" customHeight="1" x14ac:dyDescent="0.2">
      <c r="F925" s="84"/>
    </row>
    <row r="926" spans="6:6" ht="12.75" customHeight="1" x14ac:dyDescent="0.2">
      <c r="F926" s="84"/>
    </row>
    <row r="927" spans="6:6" ht="12.75" customHeight="1" x14ac:dyDescent="0.2">
      <c r="F927" s="84"/>
    </row>
    <row r="928" spans="6:6" ht="12.75" customHeight="1" x14ac:dyDescent="0.2">
      <c r="F928" s="84"/>
    </row>
    <row r="929" spans="6:6" ht="12.75" customHeight="1" x14ac:dyDescent="0.2">
      <c r="F929" s="84"/>
    </row>
    <row r="930" spans="6:6" ht="12.75" customHeight="1" x14ac:dyDescent="0.2">
      <c r="F930" s="84"/>
    </row>
    <row r="931" spans="6:6" ht="12.75" customHeight="1" x14ac:dyDescent="0.2">
      <c r="F931" s="84"/>
    </row>
    <row r="932" spans="6:6" ht="12.75" customHeight="1" x14ac:dyDescent="0.2">
      <c r="F932" s="84"/>
    </row>
    <row r="933" spans="6:6" ht="12.75" customHeight="1" x14ac:dyDescent="0.2">
      <c r="F933" s="84"/>
    </row>
    <row r="934" spans="6:6" ht="12.75" customHeight="1" x14ac:dyDescent="0.2">
      <c r="F934" s="84"/>
    </row>
    <row r="935" spans="6:6" ht="12.75" customHeight="1" x14ac:dyDescent="0.2">
      <c r="F935" s="84"/>
    </row>
    <row r="936" spans="6:6" ht="12.75" customHeight="1" x14ac:dyDescent="0.2">
      <c r="F936" s="84"/>
    </row>
    <row r="937" spans="6:6" ht="12.75" customHeight="1" x14ac:dyDescent="0.2">
      <c r="F937" s="84"/>
    </row>
    <row r="938" spans="6:6" ht="12.75" customHeight="1" x14ac:dyDescent="0.2">
      <c r="F938" s="84"/>
    </row>
    <row r="939" spans="6:6" ht="12.75" customHeight="1" x14ac:dyDescent="0.2">
      <c r="F939" s="84"/>
    </row>
    <row r="940" spans="6:6" ht="12.75" customHeight="1" x14ac:dyDescent="0.2">
      <c r="F940" s="84"/>
    </row>
    <row r="941" spans="6:6" ht="12.75" customHeight="1" x14ac:dyDescent="0.2">
      <c r="F941" s="84"/>
    </row>
    <row r="942" spans="6:6" ht="12.75" customHeight="1" x14ac:dyDescent="0.2">
      <c r="F942" s="84"/>
    </row>
    <row r="943" spans="6:6" ht="12.75" customHeight="1" x14ac:dyDescent="0.2">
      <c r="F943" s="84"/>
    </row>
    <row r="944" spans="6:6" ht="12.75" customHeight="1" x14ac:dyDescent="0.2">
      <c r="F944" s="84"/>
    </row>
    <row r="945" spans="6:6" ht="12.75" customHeight="1" x14ac:dyDescent="0.2">
      <c r="F945" s="84"/>
    </row>
    <row r="946" spans="6:6" ht="12.75" customHeight="1" x14ac:dyDescent="0.2">
      <c r="F946" s="84"/>
    </row>
    <row r="947" spans="6:6" ht="12.75" customHeight="1" x14ac:dyDescent="0.2">
      <c r="F947" s="84"/>
    </row>
    <row r="948" spans="6:6" ht="12.75" customHeight="1" x14ac:dyDescent="0.2">
      <c r="F948" s="84"/>
    </row>
    <row r="949" spans="6:6" ht="12.75" customHeight="1" x14ac:dyDescent="0.2">
      <c r="F949" s="84"/>
    </row>
    <row r="950" spans="6:6" ht="12.75" customHeight="1" x14ac:dyDescent="0.2">
      <c r="F950" s="84"/>
    </row>
    <row r="951" spans="6:6" ht="12.75" customHeight="1" x14ac:dyDescent="0.2">
      <c r="F951" s="84"/>
    </row>
    <row r="952" spans="6:6" ht="12.75" customHeight="1" x14ac:dyDescent="0.2">
      <c r="F952" s="84"/>
    </row>
    <row r="953" spans="6:6" ht="12.75" customHeight="1" x14ac:dyDescent="0.2">
      <c r="F953" s="84"/>
    </row>
    <row r="954" spans="6:6" ht="12.75" customHeight="1" x14ac:dyDescent="0.2">
      <c r="F954" s="84"/>
    </row>
    <row r="955" spans="6:6" ht="12.75" customHeight="1" x14ac:dyDescent="0.2">
      <c r="F955" s="84"/>
    </row>
    <row r="956" spans="6:6" ht="12.75" customHeight="1" x14ac:dyDescent="0.2">
      <c r="F956" s="84"/>
    </row>
    <row r="957" spans="6:6" ht="12.75" customHeight="1" x14ac:dyDescent="0.2">
      <c r="F957" s="84"/>
    </row>
    <row r="958" spans="6:6" ht="12.75" customHeight="1" x14ac:dyDescent="0.2">
      <c r="F958" s="84"/>
    </row>
    <row r="959" spans="6:6" ht="12.75" customHeight="1" x14ac:dyDescent="0.2">
      <c r="F959" s="84"/>
    </row>
    <row r="960" spans="6:6" ht="12.75" customHeight="1" x14ac:dyDescent="0.2">
      <c r="F960" s="84"/>
    </row>
    <row r="961" spans="6:6" ht="12.75" customHeight="1" x14ac:dyDescent="0.2">
      <c r="F961" s="84"/>
    </row>
    <row r="962" spans="6:6" ht="12.75" customHeight="1" x14ac:dyDescent="0.2">
      <c r="F962" s="84"/>
    </row>
    <row r="963" spans="6:6" ht="12.75" customHeight="1" x14ac:dyDescent="0.2">
      <c r="F963" s="84"/>
    </row>
    <row r="964" spans="6:6" ht="12.75" customHeight="1" x14ac:dyDescent="0.2">
      <c r="F964" s="84"/>
    </row>
    <row r="965" spans="6:6" ht="12.75" customHeight="1" x14ac:dyDescent="0.2">
      <c r="F965" s="84"/>
    </row>
    <row r="966" spans="6:6" ht="12.75" customHeight="1" x14ac:dyDescent="0.2">
      <c r="F966" s="84"/>
    </row>
    <row r="967" spans="6:6" ht="12.75" customHeight="1" x14ac:dyDescent="0.2">
      <c r="F967" s="84"/>
    </row>
    <row r="968" spans="6:6" ht="12.75" customHeight="1" x14ac:dyDescent="0.2">
      <c r="F968" s="84"/>
    </row>
    <row r="969" spans="6:6" ht="12.75" customHeight="1" x14ac:dyDescent="0.2">
      <c r="F969" s="84"/>
    </row>
    <row r="970" spans="6:6" ht="12.75" customHeight="1" x14ac:dyDescent="0.2">
      <c r="F970" s="84"/>
    </row>
    <row r="971" spans="6:6" ht="12.75" customHeight="1" x14ac:dyDescent="0.2">
      <c r="F971" s="84"/>
    </row>
    <row r="972" spans="6:6" ht="12.75" customHeight="1" x14ac:dyDescent="0.2">
      <c r="F972" s="84"/>
    </row>
    <row r="973" spans="6:6" ht="12.75" customHeight="1" x14ac:dyDescent="0.2">
      <c r="F973" s="84"/>
    </row>
    <row r="974" spans="6:6" ht="12.75" customHeight="1" x14ac:dyDescent="0.2">
      <c r="F974" s="84"/>
    </row>
    <row r="975" spans="6:6" ht="12.75" customHeight="1" x14ac:dyDescent="0.2">
      <c r="F975" s="84"/>
    </row>
    <row r="976" spans="6:6" ht="12.75" customHeight="1" x14ac:dyDescent="0.2">
      <c r="F976" s="84"/>
    </row>
    <row r="977" spans="6:6" ht="12.75" customHeight="1" x14ac:dyDescent="0.2">
      <c r="F977" s="84"/>
    </row>
    <row r="978" spans="6:6" ht="12.75" customHeight="1" x14ac:dyDescent="0.2">
      <c r="F978" s="84"/>
    </row>
    <row r="979" spans="6:6" ht="12.75" customHeight="1" x14ac:dyDescent="0.2">
      <c r="F979" s="84"/>
    </row>
    <row r="980" spans="6:6" ht="12.75" customHeight="1" x14ac:dyDescent="0.2">
      <c r="F980" s="84"/>
    </row>
    <row r="981" spans="6:6" ht="12.75" customHeight="1" x14ac:dyDescent="0.2">
      <c r="F981" s="84"/>
    </row>
    <row r="982" spans="6:6" ht="12.75" customHeight="1" x14ac:dyDescent="0.2">
      <c r="F982" s="84"/>
    </row>
    <row r="983" spans="6:6" ht="12.75" customHeight="1" x14ac:dyDescent="0.2">
      <c r="F983" s="84"/>
    </row>
    <row r="984" spans="6:6" ht="12.75" customHeight="1" x14ac:dyDescent="0.2">
      <c r="F984" s="84"/>
    </row>
    <row r="985" spans="6:6" ht="12.75" customHeight="1" x14ac:dyDescent="0.2">
      <c r="F985" s="84"/>
    </row>
    <row r="986" spans="6:6" ht="12.75" customHeight="1" x14ac:dyDescent="0.2">
      <c r="F986" s="84"/>
    </row>
    <row r="987" spans="6:6" ht="12.75" customHeight="1" x14ac:dyDescent="0.2">
      <c r="F987" s="84"/>
    </row>
    <row r="988" spans="6:6" ht="12.75" customHeight="1" x14ac:dyDescent="0.2">
      <c r="F988" s="84"/>
    </row>
    <row r="989" spans="6:6" ht="12.75" customHeight="1" x14ac:dyDescent="0.2">
      <c r="F989" s="84"/>
    </row>
    <row r="990" spans="6:6" ht="12.75" customHeight="1" x14ac:dyDescent="0.2">
      <c r="F990" s="84"/>
    </row>
    <row r="991" spans="6:6" ht="12.75" customHeight="1" x14ac:dyDescent="0.2">
      <c r="F991" s="84"/>
    </row>
    <row r="992" spans="6:6" ht="12.75" customHeight="1" x14ac:dyDescent="0.2">
      <c r="F992" s="84"/>
    </row>
    <row r="993" spans="6:6" ht="12.75" customHeight="1" x14ac:dyDescent="0.2">
      <c r="F993" s="84"/>
    </row>
    <row r="994" spans="6:6" ht="12.75" customHeight="1" x14ac:dyDescent="0.2">
      <c r="F994" s="84"/>
    </row>
    <row r="995" spans="6:6" ht="12.75" customHeight="1" x14ac:dyDescent="0.2">
      <c r="F995" s="84"/>
    </row>
    <row r="996" spans="6:6" ht="12.75" customHeight="1" x14ac:dyDescent="0.2">
      <c r="F996" s="84"/>
    </row>
    <row r="997" spans="6:6" ht="12.75" customHeight="1" x14ac:dyDescent="0.2">
      <c r="F997" s="84"/>
    </row>
    <row r="998" spans="6:6" ht="12.75" customHeight="1" x14ac:dyDescent="0.2">
      <c r="F998" s="84"/>
    </row>
    <row r="999" spans="6:6" ht="12.75" customHeight="1" x14ac:dyDescent="0.2">
      <c r="F999" s="84"/>
    </row>
    <row r="1000" spans="6:6" ht="12.75" customHeight="1" x14ac:dyDescent="0.2">
      <c r="F1000" s="84"/>
    </row>
  </sheetData>
  <autoFilter ref="A1:F424" xr:uid="{00000000-0009-0000-0000-000002000000}"/>
  <phoneticPr fontId="58" type="noConversion"/>
  <conditionalFormatting sqref="C167">
    <cfRule type="expression" dxfId="35" priority="1" stopIfTrue="1">
      <formula>$C167="note"</formula>
    </cfRule>
    <cfRule type="expression" dxfId="34" priority="2" stopIfTrue="1">
      <formula>$C167="barcode"</formula>
    </cfRule>
    <cfRule type="expression" dxfId="33" priority="3" stopIfTrue="1">
      <formula>$C167="image"</formula>
    </cfRule>
    <cfRule type="expression" dxfId="32" priority="4" stopIfTrue="1">
      <formula>OR($C167="date", $C167="datetime")</formula>
    </cfRule>
    <cfRule type="expression" dxfId="31" priority="5" stopIfTrue="1">
      <formula>OR($C167="calculate", $C167="calculate_here")</formula>
    </cfRule>
    <cfRule type="expression" dxfId="30" priority="6" stopIfTrue="1">
      <formula>$C167="comments"</formula>
    </cfRule>
    <cfRule type="expression" dxfId="29" priority="7" stopIfTrue="1">
      <formula>OR($C167="audio", $C167="video")</formula>
    </cfRule>
    <cfRule type="expression" dxfId="28" priority="8" stopIfTrue="1">
      <formula>OR($C167="geopoint", $C167="geoshape", $C167="geotrace")</formula>
    </cfRule>
    <cfRule type="expression" dxfId="27" priority="9" stopIfTrue="1">
      <formula>OR($C167="audio audit", $C167="text audit", $C167="speed violations count", $C167="speed violations list", $C167="speed violations audit")</formula>
    </cfRule>
    <cfRule type="expression" dxfId="26" priority="10" stopIfTrue="1">
      <formula>OR($C167="username", $C167="phonenumber", $C167="start", $C167="end", $C167="deviceid", $C167="subscriberid", $C167="simserial", $C167="caseid")</formula>
    </cfRule>
    <cfRule type="expression" dxfId="25" priority="11" stopIfTrue="1">
      <formula>OR(AND(LEFT($C167, 16)="select_multiple ", LEN($C167)&gt;16, NOT(ISNUMBER(SEARCH(" ", $C167, 17)))), AND(LEFT($C167, 11)="select_one ", LEN($C167)&gt;11, NOT(ISNUMBER(SEARCH(" ", $C167, 12)))))</formula>
    </cfRule>
    <cfRule type="expression" dxfId="24" priority="12" stopIfTrue="1">
      <formula>$C167="decimal"</formula>
    </cfRule>
    <cfRule type="expression" dxfId="23" priority="13" stopIfTrue="1">
      <formula>$C167="integer"</formula>
    </cfRule>
    <cfRule type="expression" dxfId="22" priority="14" stopIfTrue="1">
      <formula>$C167="text"</formula>
    </cfRule>
    <cfRule type="expression" dxfId="21" priority="15" stopIfTrue="1">
      <formula>$C167="end repeat"</formula>
    </cfRule>
    <cfRule type="expression" dxfId="20" priority="16" stopIfTrue="1">
      <formula>$C167="end group"</formula>
    </cfRule>
    <cfRule type="expression" dxfId="19" priority="17" stopIfTrue="1">
      <formula>$C167="begin group"</formula>
    </cfRule>
    <cfRule type="expression" dxfId="18" priority="18" stopIfTrue="1">
      <formula>$C167="begin repeat"</formula>
    </cfRule>
  </conditionalFormatting>
  <conditionalFormatting sqref="E167">
    <cfRule type="expression" dxfId="17" priority="19" stopIfTrue="1">
      <formula>$C167="note"</formula>
    </cfRule>
    <cfRule type="expression" dxfId="16" priority="20" stopIfTrue="1">
      <formula>$C167="barcode"</formula>
    </cfRule>
    <cfRule type="expression" dxfId="15" priority="21" stopIfTrue="1">
      <formula>$C167="image"</formula>
    </cfRule>
    <cfRule type="expression" dxfId="14" priority="22" stopIfTrue="1">
      <formula>OR($C167="date", $C167="datetime")</formula>
    </cfRule>
    <cfRule type="expression" dxfId="13" priority="23" stopIfTrue="1">
      <formula>OR($C167="calculate", $C167="calculate_here")</formula>
    </cfRule>
    <cfRule type="expression" dxfId="12" priority="24" stopIfTrue="1">
      <formula>$C167="comments"</formula>
    </cfRule>
    <cfRule type="expression" dxfId="11" priority="25" stopIfTrue="1">
      <formula>OR($C167="audio", $C167="video")</formula>
    </cfRule>
    <cfRule type="expression" dxfId="10" priority="26" stopIfTrue="1">
      <formula>OR($C167="geopoint", $C167="geoshape", $C167="geotrace")</formula>
    </cfRule>
    <cfRule type="expression" dxfId="9" priority="27" stopIfTrue="1">
      <formula>OR($C167="audio audit", $C167="text audit", $C167="speed violations count", $C167="speed violations list", $C167="speed violations audit")</formula>
    </cfRule>
    <cfRule type="expression" dxfId="8" priority="28" stopIfTrue="1">
      <formula>OR($C167="username", $C167="phonenumber", $C167="start", $C167="end", $C167="deviceid", $C167="subscriberid", $C167="simserial", $C167="caseid")</formula>
    </cfRule>
    <cfRule type="expression" dxfId="7" priority="29" stopIfTrue="1">
      <formula>OR(AND(LEFT($C167, 16)="select_multiple ", LEN($C167)&gt;16, NOT(ISNUMBER(SEARCH(" ", $C167, 17)))), AND(LEFT($C167, 11)="select_one ", LEN($C167)&gt;11, NOT(ISNUMBER(SEARCH(" ", $C167, 12)))))</formula>
    </cfRule>
    <cfRule type="expression" dxfId="6" priority="30" stopIfTrue="1">
      <formula>$C167="decimal"</formula>
    </cfRule>
    <cfRule type="expression" dxfId="5" priority="31" stopIfTrue="1">
      <formula>$C167="integer"</formula>
    </cfRule>
    <cfRule type="expression" dxfId="4" priority="32" stopIfTrue="1">
      <formula>$C167="text"</formula>
    </cfRule>
    <cfRule type="expression" dxfId="3" priority="33" stopIfTrue="1">
      <formula>$C167="end repeat"</formula>
    </cfRule>
    <cfRule type="expression" dxfId="2" priority="34" stopIfTrue="1">
      <formula>$C167="end group"</formula>
    </cfRule>
    <cfRule type="expression" dxfId="1" priority="35" stopIfTrue="1">
      <formula>$C167="begin group"</formula>
    </cfRule>
    <cfRule type="expression" dxfId="0" priority="36" stopIfTrue="1">
      <formula>$C167="begin repeat"</formula>
    </cfRule>
  </conditionalFormatting>
  <pageMargins left="0.74791666666666667" right="0.74791666666666667" top="0.98402777777777772" bottom="0.98402777777777772"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topLeftCell="B1" workbookViewId="0">
      <selection activeCell="B8" sqref="B8"/>
    </sheetView>
  </sheetViews>
  <sheetFormatPr defaultColWidth="12.42578125" defaultRowHeight="15" customHeight="1" x14ac:dyDescent="0.2"/>
  <cols>
    <col min="1" max="1" width="43.140625" customWidth="1"/>
    <col min="2" max="2" width="31" customWidth="1"/>
    <col min="3" max="3" width="50.140625" customWidth="1"/>
    <col min="4" max="4" width="51.42578125" customWidth="1"/>
    <col min="5" max="5" width="17" customWidth="1"/>
    <col min="6" max="26" width="9.42578125" customWidth="1"/>
  </cols>
  <sheetData>
    <row r="1" spans="1:5" ht="15.75" customHeight="1" x14ac:dyDescent="0.2">
      <c r="A1" s="89" t="s">
        <v>2539</v>
      </c>
      <c r="B1" s="89" t="s">
        <v>2540</v>
      </c>
      <c r="C1" s="89" t="s">
        <v>2541</v>
      </c>
      <c r="D1" s="89" t="s">
        <v>2542</v>
      </c>
      <c r="E1" s="89" t="s">
        <v>2543</v>
      </c>
    </row>
    <row r="2" spans="1:5" ht="15.75" customHeight="1" x14ac:dyDescent="0.2">
      <c r="A2" s="6" t="s">
        <v>2544</v>
      </c>
      <c r="B2" s="6" t="s">
        <v>2545</v>
      </c>
      <c r="C2" s="6" t="s">
        <v>2546</v>
      </c>
      <c r="D2" s="6">
        <v>1000000001</v>
      </c>
      <c r="E2" s="6" t="s">
        <v>2547</v>
      </c>
    </row>
    <row r="3" spans="1:5" ht="12.75" customHeight="1" x14ac:dyDescent="0.2"/>
    <row r="4" spans="1:5" ht="12.75" customHeight="1" x14ac:dyDescent="0.2">
      <c r="D4" s="90"/>
    </row>
    <row r="5" spans="1:5" ht="12.75" customHeight="1" x14ac:dyDescent="0.2">
      <c r="D5" s="90"/>
    </row>
    <row r="6" spans="1:5" ht="12.75" customHeight="1" x14ac:dyDescent="0.2"/>
    <row r="7" spans="1:5" ht="12.75" customHeight="1" x14ac:dyDescent="0.2"/>
    <row r="8" spans="1:5" ht="12.75" customHeight="1" x14ac:dyDescent="0.2"/>
    <row r="9" spans="1:5" ht="12.75" customHeight="1" x14ac:dyDescent="0.2"/>
    <row r="10" spans="1:5" ht="12.75" customHeight="1" x14ac:dyDescent="0.2"/>
    <row r="11" spans="1:5" ht="12.75" customHeight="1" x14ac:dyDescent="0.2"/>
    <row r="12" spans="1:5" ht="12.75" customHeight="1" x14ac:dyDescent="0.2"/>
    <row r="13" spans="1:5" ht="12.75" customHeight="1" x14ac:dyDescent="0.2"/>
    <row r="14" spans="1:5" ht="12.75" customHeight="1" x14ac:dyDescent="0.2"/>
    <row r="15" spans="1:5" ht="12.75" customHeight="1" x14ac:dyDescent="0.2"/>
    <row r="16" spans="1:5"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4791666666666667" right="0.74791666666666667" top="0.98402777777777772" bottom="0.98402777777777772" header="0" footer="0"/>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CA194C411A66A43AF5A340052B5B424" ma:contentTypeVersion="17" ma:contentTypeDescription="Create a new document." ma:contentTypeScope="" ma:versionID="0d2b8eb2e459ff3c5d744ba96c7f5ab1">
  <xsd:schema xmlns:xsd="http://www.w3.org/2001/XMLSchema" xmlns:xs="http://www.w3.org/2001/XMLSchema" xmlns:p="http://schemas.microsoft.com/office/2006/metadata/properties" xmlns:ns2="1011fb24-49a0-463f-ada9-a8217d0aa252" xmlns:ns3="a72d8ac4-480f-42af-94c3-1b0dbed1eec5" targetNamespace="http://schemas.microsoft.com/office/2006/metadata/properties" ma:root="true" ma:fieldsID="7248bee3fe7597a1984030777f2c5c40" ns2:_="" ns3:_="">
    <xsd:import namespace="1011fb24-49a0-463f-ada9-a8217d0aa252"/>
    <xsd:import namespace="a72d8ac4-480f-42af-94c3-1b0dbed1eec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GenerationTime" minOccurs="0"/>
                <xsd:element ref="ns3:MediaServiceEventHashCode" minOccurs="0"/>
                <xsd:element ref="ns3:MediaServiceOCR" minOccurs="0"/>
                <xsd:element ref="ns3:MediaServiceDateTaken" minOccurs="0"/>
                <xsd:element ref="ns3:MediaLengthInSeconds" minOccurs="0"/>
                <xsd:element ref="ns3:MediaServiceObjectDetectorVersions" minOccurs="0"/>
                <xsd:element ref="ns3:MediaServiceLocation" minOccurs="0"/>
                <xsd:element ref="ns3:MediaServiceSearchProperties" minOccurs="0"/>
                <xsd:element ref="ns3:ORDER0"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11fb24-49a0-463f-ada9-a8217d0aa25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8717fdcf-dbb3-4213-9143-858f321dbc07}" ma:internalName="TaxCatchAll" ma:showField="CatchAllData" ma:web="1011fb24-49a0-463f-ada9-a8217d0aa25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72d8ac4-480f-42af-94c3-1b0dbed1eec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be66e25-6253-4f8b-9755-5684a1ad782e"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ORDER0" ma:index="23" nillable="true" ma:displayName="ORDER" ma:format="Dropdown" ma:internalName="ORDER0" ma:percentage="FALSE">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1011fb24-49a0-463f-ada9-a8217d0aa252" xsi:nil="true"/>
    <lcf76f155ced4ddcb4097134ff3c332f xmlns="a72d8ac4-480f-42af-94c3-1b0dbed1eec5">
      <Terms xmlns="http://schemas.microsoft.com/office/infopath/2007/PartnerControls"/>
    </lcf76f155ced4ddcb4097134ff3c332f>
    <ORDER0 xmlns="a72d8ac4-480f-42af-94c3-1b0dbed1eec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38945B9-E153-447B-9C97-EC91FF573945}"/>
</file>

<file path=customXml/itemProps2.xml><?xml version="1.0" encoding="utf-8"?>
<ds:datastoreItem xmlns:ds="http://schemas.openxmlformats.org/officeDocument/2006/customXml" ds:itemID="{89EA5A51-987B-49FF-9494-0C75728AE881}">
  <ds:schemaRefs>
    <ds:schemaRef ds:uri="http://schemas.microsoft.com/office/2006/metadata/properties"/>
    <ds:schemaRef ds:uri="http://schemas.microsoft.com/office/infopath/2007/PartnerControls"/>
    <ds:schemaRef ds:uri="http://schemas.microsoft.com/office/2006/documentManagement/types"/>
    <ds:schemaRef ds:uri="http://schemas.openxmlformats.org/package/2006/metadata/core-properties"/>
    <ds:schemaRef ds:uri="1011fb24-49a0-463f-ada9-a8217d0aa252"/>
    <ds:schemaRef ds:uri="http://purl.org/dc/terms/"/>
    <ds:schemaRef ds:uri="http://www.w3.org/XML/1998/namespace"/>
    <ds:schemaRef ds:uri="a72d8ac4-480f-42af-94c3-1b0dbed1eec5"/>
    <ds:schemaRef ds:uri="http://purl.org/dc/dcmitype/"/>
    <ds:schemaRef ds:uri="http://purl.org/dc/elements/1.1/"/>
  </ds:schemaRefs>
</ds:datastoreItem>
</file>

<file path=customXml/itemProps3.xml><?xml version="1.0" encoding="utf-8"?>
<ds:datastoreItem xmlns:ds="http://schemas.openxmlformats.org/officeDocument/2006/customXml" ds:itemID="{A740CFD0-7B0A-46BD-ABCC-71906100BAA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survey</vt:lpstr>
      <vt:lpstr>Sheet1</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Butzer</dc:creator>
  <cp:keywords/>
  <dc:description/>
  <cp:lastModifiedBy>Katelyn Woolheater</cp:lastModifiedBy>
  <cp:revision/>
  <dcterms:created xsi:type="dcterms:W3CDTF">2015-06-02T17:26:58Z</dcterms:created>
  <dcterms:modified xsi:type="dcterms:W3CDTF">2025-12-09T18:55:25Z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9p6">
    <vt:lpwstr/>
  </property>
  <property fmtid="{D5CDD505-2E9C-101B-9397-08002B2CF9AE}" pid="3" name="Status">
    <vt:lpwstr>Preparing</vt:lpwstr>
  </property>
  <property fmtid="{D5CDD505-2E9C-101B-9397-08002B2CF9AE}" pid="4" name="Type l">
    <vt:lpwstr/>
  </property>
  <property fmtid="{D5CDD505-2E9C-101B-9397-08002B2CF9AE}" pid="5" name="r7ph">
    <vt:lpwstr/>
  </property>
  <property fmtid="{D5CDD505-2E9C-101B-9397-08002B2CF9AE}" pid="6" name="ddqa">
    <vt:lpwstr/>
  </property>
  <property fmtid="{D5CDD505-2E9C-101B-9397-08002B2CF9AE}" pid="7" name="MediaServiceImageTags">
    <vt:lpwstr/>
  </property>
  <property fmtid="{D5CDD505-2E9C-101B-9397-08002B2CF9AE}" pid="8" name="ContentTypeId">
    <vt:lpwstr>0x0101001CA194C411A66A43AF5A340052B5B424</vt:lpwstr>
  </property>
</Properties>
</file>